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3e6ce595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ue Summary" sheetId="1" r:id="R2fafcd2d4f774510"/>
    <x:sheet xmlns:r="http://schemas.openxmlformats.org/officeDocument/2006/relationships" name="Pending Queue" sheetId="2" r:id="Rf6db7032558b4264"/>
    <x:sheet xmlns:r="http://schemas.openxmlformats.org/officeDocument/2006/relationships" name="Reconciliation" sheetId="3" r:id="R9a808044c28b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7db4f278d4686" /><Relationship Type="http://schemas.openxmlformats.org/officeDocument/2006/relationships/theme" Target="/xl/theme/theme1.xml" Id="Re9d8076828194322" /><Relationship Type="http://schemas.openxmlformats.org/officeDocument/2006/relationships/sharedStrings" Target="/xl/sharedStrings.xml" Id="R355c874acd4f421b" /><Relationship Type="http://schemas.openxmlformats.org/officeDocument/2006/relationships/worksheet" Target="/xl/worksheets/sheet1.xml" Id="R2fafcd2d4f774510" /><Relationship Type="http://schemas.openxmlformats.org/officeDocument/2006/relationships/worksheet" Target="/xl/worksheets/sheet2.xml" Id="Rf6db7032558b4264" /><Relationship Type="http://schemas.openxmlformats.org/officeDocument/2006/relationships/worksheet" Target="/xl/worksheets/sheet3.xml" Id="R9a808044c28b4fd5" /></Relationships>
</file>

<file path=xl/tables/table1.xml><?xml version="1.0" encoding="utf-8"?>
<x:table xmlns:x="http://schemas.openxmlformats.org/spreadsheetml/2006/main" id="1" name="PendingQueueTable" displayName="PendingQueueTable" ref="A1:J19" headerRowCount="1" totalsRowCount="0" totalsRowShown="0">
  <x:tableColumns count="10">
    <x:tableColumn id="1" name="Priority"/>
    <x:tableColumn id="2" name="Fit"/>
    <x:tableColumn id="3" name="Company"/>
    <x:tableColumn id="4" name="Role"/>
    <x:tableColumn id="5" name="Location"/>
    <x:tableColumn id="6" name="Posted"/>
    <x:tableColumn id="7" name="Queue status"/>
    <x:tableColumn id="8" name="Next action"/>
    <x:tableColumn id="9" name="Risk or gate"/>
    <x:tableColumn id="10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nciliationTable" displayName="ReconciliationTable" ref="A1:J21" headerRowCount="1" totalsRowCount="0" totalsRowShown="0">
  <x:tableColumns count="10">
    <x:tableColumn id="1" name="Sweep #"/>
    <x:tableColumn id="2" name="Fit"/>
    <x:tableColumn id="3" name="Company"/>
    <x:tableColumn id="4" name="Role"/>
    <x:tableColumn id="5" name="LinkedIn job ID"/>
    <x:tableColumn id="6" name="Posted"/>
    <x:tableColumn id="7" name="History check"/>
    <x:tableColumn id="8" name="Recorded status"/>
    <x:tableColumn id="9" name="Decision"/>
    <x:tableColumn id="10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5ae6d1c50e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ab06c00b124e5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4" hidden="0" customWidth="1"/>
    <x:col min="3" max="3" width="16" hidden="0" customWidth="1"/>
    <x:col min="4" max="4" width="34" hidden="0" customWidth="1"/>
  </x:cols>
  <x:sheetData>
    <x:row r="1" ht="30" customHeight="1">
      <x:c r="A1" s="4" t="str">
        <x:v>Job Application Queue - 24 Aug 2026</x:v>
      </x:c>
      <x:c r="B1" s="4"/>
      <x:c r="C1" s="4"/>
      <x:c r="D1" s="4"/>
    </x:row>
    <x:row r="3">
      <x:c r="A3" s="7" t="str">
        <x:v>Metric</x:v>
      </x:c>
      <x:c r="B3" s="8" t="str">
        <x:v>Count</x:v>
      </x:c>
    </x:row>
    <x:row r="4">
      <x:c r="A4" s="15" t="str">
        <x:v>Sweep roles</x:v>
      </x:c>
      <x:c r="B4" s="10" t="n">
        <x:f>COUNTA(Reconciliation!A2:A1000)</x:f>
        <x:v>20</x:v>
      </x:c>
    </x:row>
    <x:row r="5">
      <x:c r="A5" s="15" t="str">
        <x:v>Already completed</x:v>
      </x:c>
      <x:c r="B5" s="10" t="n">
        <x:f>COUNTIF(Reconciliation!I2:I1000,"DONE")</x:f>
        <x:v>2</x:v>
      </x:c>
    </x:row>
    <x:row r="6">
      <x:c r="A6" s="15" t="str">
        <x:v>Pending applications</x:v>
      </x:c>
      <x:c r="B6" s="10" t="n">
        <x:f>COUNTA('Pending Queue'!A2:A1000)</x:f>
        <x:v>18</x:v>
      </x:c>
    </x:row>
    <x:row r="7">
      <x:c r="A7" s="15" t="str">
        <x:v>Pending high fit</x:v>
      </x:c>
      <x:c r="B7" s="10" t="n">
        <x:f>COUNTIF('Pending Queue'!B2:B1000,"High")</x:f>
        <x:v>6</x:v>
      </x:c>
    </x:row>
    <x:row r="8">
      <x:c r="A8" s="16" t="str">
        <x:v>Pending medium fit</x:v>
      </x:c>
      <x:c r="B8" s="12" t="n">
        <x:f>COUNTIF('Pending Queue'!B2:B1000,"Med")</x:f>
        <x:v>8</x:v>
      </x:c>
    </x:row>
    <x:row r="9">
      <x:c r="A9" s="17"/>
    </x:row>
    <x:row r="10">
      <x:c r="A10" s="13" t="str">
        <x:v>Queue rule</x:v>
      </x:c>
      <x:c r="B10" s="13" t="str">
        <x:v>Meaning</x:v>
      </x:c>
      <x:c r="C10" s="13" t="str">
        <x:v>Status</x:v>
      </x:c>
      <x:c r="D10" s="13" t="str">
        <x:v>Action</x:v>
      </x:c>
    </x:row>
    <x:row r="11">
      <x:c r="A11" s="18" t="str">
        <x:v>Done</x:v>
      </x:c>
      <x:c r="B11" s="14" t="str">
        <x:v>Exact job submitted or a terminal decision already recorded</x:v>
      </x:c>
      <x:c r="C11" s="14" t="str">
        <x:v>DONE</x:v>
      </x:c>
      <x:c r="D11" s="14" t="str">
        <x:v>Do not reapply</x:v>
      </x:c>
    </x:row>
    <x:row r="12">
      <x:c r="A12" s="18" t="str">
        <x:v>Pending</x:v>
      </x:c>
      <x:c r="B12" s="14" t="str">
        <x:v>No completed match for this exact role</x:v>
      </x:c>
      <x:c r="C12" s="14" t="str">
        <x:v>PENDING</x:v>
      </x:c>
      <x:c r="D12" s="14" t="str">
        <x:v>Review and apply in priority order</x:v>
      </x:c>
    </x:row>
    <x:row r="13">
      <x:c r="A13" s="18" t="str">
        <x:v>Company match</x:v>
      </x:c>
      <x:c r="B13" s="14" t="str">
        <x:v>A different role at the same company exists in history</x:v>
      </x:c>
      <x:c r="C13" s="14" t="str">
        <x:v>PENDING</x:v>
      </x:c>
      <x:c r="D13" s="14" t="str">
        <x:v>Treat as a separate application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2" hidden="0" customWidth="1"/>
    <x:col min="4" max="4" width="43" hidden="0" customWidth="1"/>
    <x:col min="5" max="5" width="26" hidden="0" customWidth="1"/>
    <x:col min="6" max="6" width="13" hidden="0" customWidth="1"/>
    <x:col min="7" max="7" width="18" hidden="0" customWidth="1"/>
    <x:col min="8" max="8" width="34" hidden="0" customWidth="1"/>
    <x:col min="9" max="9" width="58" hidden="0" customWidth="1"/>
    <x:col min="10" max="10" width="66" hidden="0" customWidth="1"/>
  </x:cols>
  <x:sheetData>
    <x:row r="1">
      <x:c r="A1" s="19" t="str">
        <x:v>Priority</x:v>
      </x:c>
      <x:c r="B1" s="19" t="str">
        <x:v>Fit</x:v>
      </x:c>
      <x:c r="C1" s="19" t="str">
        <x:v>Company</x:v>
      </x:c>
      <x:c r="D1" s="19" t="str">
        <x:v>Role</x:v>
      </x:c>
      <x:c r="E1" s="19" t="str">
        <x:v>Location</x:v>
      </x:c>
      <x:c r="F1" s="19" t="str">
        <x:v>Posted</x:v>
      </x:c>
      <x:c r="G1" s="19" t="str">
        <x:v>Queue status</x:v>
      </x:c>
      <x:c r="H1" s="19" t="str">
        <x:v>Next action</x:v>
      </x:c>
      <x:c r="I1" s="19" t="str">
        <x:v>Risk or gate</x:v>
      </x:c>
      <x:c r="J1" s="19" t="str">
        <x:v>URL</x:v>
      </x:c>
    </x:row>
    <x:row r="2">
      <x:c r="A2" s="20" t="n">
        <x:v>1</x:v>
      </x:c>
      <x:c r="B2" s="20" t="str">
        <x:v>High</x:v>
      </x:c>
      <x:c r="C2" s="20" t="str">
        <x:v>Hays</x:v>
      </x:c>
      <x:c r="D2" s="21" t="str">
        <x:v>AI Engineer - Generative AI &amp; Autonomous Agents</x:v>
      </x:c>
      <x:c r="E2" s="21" t="str">
        <x:v>Milan, Italy</x:v>
      </x:c>
      <x:c r="F2" s="21" t="str">
        <x:v>2026-08-24</x:v>
      </x:c>
      <x:c r="G2" s="21" t="str">
        <x:v>PENDING REVIEW</x:v>
      </x:c>
      <x:c r="H2" s="21" t="str">
        <x:v>Review JD, then apply</x:v>
      </x:c>
      <x:c r="I2" s="21" t="str">
        <x:v>Recruiting agency. Check Italian and remote or hybrid expectations.</x:v>
      </x:c>
      <x:c r="J2" s="21" t="str">
        <x:v>https://it.linkedin.com/jobs/view/ai-engineer-generative-ai-autonomous-agents-at-hays-4439208386</x:v>
      </x:c>
    </x:row>
    <x:row r="3">
      <x:c r="A3" s="20" t="n">
        <x:v>2</x:v>
      </x:c>
      <x:c r="B3" s="20" t="str">
        <x:v>High</x:v>
      </x:c>
      <x:c r="C3" s="20" t="str">
        <x:v>Jet HR</x:v>
      </x:c>
      <x:c r="D3" s="21" t="str">
        <x:v>AI Software Engineer</x:v>
      </x:c>
      <x:c r="E3" s="21" t="str">
        <x:v>Turin, Italy</x:v>
      </x:c>
      <x:c r="F3" s="21" t="str">
        <x:v>2026-08-20</x:v>
      </x:c>
      <x:c r="G3" s="21" t="str">
        <x:v>PENDING REVIEW</x:v>
      </x:c>
      <x:c r="H3" s="21" t="str">
        <x:v>Review JD, then apply</x:v>
      </x:c>
      <x:c r="I3" s="21" t="str">
        <x:v>Check Italian working-language requirement. A different Jet HR role is already tracked.</x:v>
      </x:c>
      <x:c r="J3" s="21" t="str">
        <x:v>https://it.linkedin.com/jobs/view/ai-software-engineer-at-jet-hr-4456762931</x:v>
      </x:c>
    </x:row>
    <x:row r="4">
      <x:c r="A4" s="20" t="n">
        <x:v>3</x:v>
      </x:c>
      <x:c r="B4" s="20" t="str">
        <x:v>High</x:v>
      </x:c>
      <x:c r="C4" s="20" t="str">
        <x:v>Moviri</x:v>
      </x:c>
      <x:c r="D4" s="21" t="str">
        <x:v>AI Engineer</x:v>
      </x:c>
      <x:c r="E4" s="21" t="str">
        <x:v>Milan, Italy</x:v>
      </x:c>
      <x:c r="F4" s="21" t="str">
        <x:v>2026-07-31</x:v>
      </x:c>
      <x:c r="G4" s="21" t="str">
        <x:v>PENDING REVIEW</x:v>
      </x:c>
      <x:c r="H4" s="21" t="str">
        <x:v>Review JD, then apply</x:v>
      </x:c>
      <x:c r="I4" s="21" t="str">
        <x:v>Verify whether the role requires ML research or model training.</x:v>
      </x:c>
      <x:c r="J4" s="21" t="str">
        <x:v>https://it.linkedin.com/jobs/view/ai-engineer-at-moviri-4445094325</x:v>
      </x:c>
    </x:row>
    <x:row r="5">
      <x:c r="A5" s="20" t="n">
        <x:v>4</x:v>
      </x:c>
      <x:c r="B5" s="20" t="str">
        <x:v>High</x:v>
      </x:c>
      <x:c r="C5" s="20" t="str">
        <x:v>Yakkyo</x:v>
      </x:c>
      <x:c r="D5" s="21" t="str">
        <x:v>Backend / Full-Stack Developer (Node.js + MongoDB)</x:v>
      </x:c>
      <x:c r="E5" s="21" t="str">
        <x:v>Milan, Italy</x:v>
      </x:c>
      <x:c r="F5" s="21" t="str">
        <x:v>2026-08-19</x:v>
      </x:c>
      <x:c r="G5" s="21" t="str">
        <x:v>PENDING REVIEW</x:v>
      </x:c>
      <x:c r="H5" s="21" t="str">
        <x:v>Review JD, then apply</x:v>
      </x:c>
      <x:c r="I5" s="21" t="str">
        <x:v>Verify remote scope and required MongoDB depth.</x:v>
      </x:c>
      <x:c r="J5" s="21" t="str">
        <x:v>https://it.linkedin.com/jobs/view/backend-full-stack-developer-node-js-mongodb-at-yakkyo-4456308134</x:v>
      </x:c>
    </x:row>
    <x:row r="6">
      <x:c r="A6" s="20" t="n">
        <x:v>5</x:v>
      </x:c>
      <x:c r="B6" s="20" t="str">
        <x:v>High</x:v>
      </x:c>
      <x:c r="C6" s="20" t="str">
        <x:v>Amaris Consulting</x:v>
      </x:c>
      <x:c r="D6" s="21" t="str">
        <x:v>Software Engineer (TypeScript/Node.js)</x:v>
      </x:c>
      <x:c r="E6" s="21" t="str">
        <x:v>Varese, Italy</x:v>
      </x:c>
      <x:c r="F6" s="21" t="str">
        <x:v>2026-08-22</x:v>
      </x:c>
      <x:c r="G6" s="21" t="str">
        <x:v>PENDING REVIEW</x:v>
      </x:c>
      <x:c r="H6" s="21" t="str">
        <x:v>Check language gate before applying</x:v>
      </x:c>
      <x:c r="I6" s="21" t="str">
        <x:v>The title states Italian speaker. Candidate Italian is beginner level.</x:v>
      </x:c>
      <x:c r="J6" s="21" t="str">
        <x:v>https://it.linkedin.com/jobs/view/software-engineer-typescript-node-js-italian-speaker-at-amaris-consulting-4411457839</x:v>
      </x:c>
    </x:row>
    <x:row r="7">
      <x:c r="A7" s="20" t="n">
        <x:v>6</x:v>
      </x:c>
      <x:c r="B7" s="20" t="str">
        <x:v>High</x:v>
      </x:c>
      <x:c r="C7" s="20" t="str">
        <x:v>TeamSystem</x:v>
      </x:c>
      <x:c r="D7" s="21" t="str">
        <x:v>Backend Developer Node.js &amp; TypeScript</x:v>
      </x:c>
      <x:c r="E7" s="21" t="str">
        <x:v>Milan, Italy</x:v>
      </x:c>
      <x:c r="F7" s="21" t="str">
        <x:v>2026-08-07</x:v>
      </x:c>
      <x:c r="G7" s="21" t="str">
        <x:v>PENDING REVIEW</x:v>
      </x:c>
      <x:c r="H7" s="21" t="str">
        <x:v>Review JD, then apply</x:v>
      </x:c>
      <x:c r="I7" s="21" t="str">
        <x:v>Check Italian language requirement and remote policy.</x:v>
      </x:c>
      <x:c r="J7" s="21" t="str">
        <x:v>https://it.linkedin.com/jobs/view/backend-developer-node-js-typescript-at-teamsystem-4445160506</x:v>
      </x:c>
    </x:row>
    <x:row r="8">
      <x:c r="A8" s="20" t="n">
        <x:v>7</x:v>
      </x:c>
      <x:c r="B8" s="20" t="str">
        <x:v>Med</x:v>
      </x:c>
      <x:c r="C8" s="20" t="str">
        <x:v>Prima</x:v>
      </x:c>
      <x:c r="D8" s="21" t="str">
        <x:v>Software / Machine Learning Engineer</x:v>
      </x:c>
      <x:c r="E8" s="21" t="str">
        <x:v>Milan, Italy</x:v>
      </x:c>
      <x:c r="F8" s="21" t="str">
        <x:v>2026-08-12</x:v>
      </x:c>
      <x:c r="G8" s="21" t="str">
        <x:v>PENDING REVIEW</x:v>
      </x:c>
      <x:c r="H8" s="21" t="str">
        <x:v>Evaluate fit before applying</x:v>
      </x:c>
      <x:c r="I8" s="21" t="str">
        <x:v>ML-heavy title. Verify applied engineering versus model training.</x:v>
      </x:c>
      <x:c r="J8" s="21" t="str">
        <x:v>https://it.linkedin.com/jobs/view/software-machine-learning-engineer-at-prima-4443791348</x:v>
      </x:c>
    </x:row>
    <x:row r="9">
      <x:c r="A9" s="20" t="n">
        <x:v>8</x:v>
      </x:c>
      <x:c r="B9" s="20" t="str">
        <x:v>Med</x:v>
      </x:c>
      <x:c r="C9" s="20" t="str">
        <x:v>Accessiway</x:v>
      </x:c>
      <x:c r="D9" s="21" t="str">
        <x:v>Fullstack Developer</x:v>
      </x:c>
      <x:c r="E9" s="21" t="str">
        <x:v>Turin, Italy</x:v>
      </x:c>
      <x:c r="F9" s="21" t="str">
        <x:v>2026-08-20</x:v>
      </x:c>
      <x:c r="G9" s="21" t="str">
        <x:v>PENDING REVIEW</x:v>
      </x:c>
      <x:c r="H9" s="21" t="str">
        <x:v>Evaluate fit before applying</x:v>
      </x:c>
      <x:c r="I9" s="21" t="str">
        <x:v>Check Italian language requirement and Turin attendance.</x:v>
      </x:c>
      <x:c r="J9" s="21" t="str">
        <x:v>https://it.linkedin.com/jobs/view/fullstack-developer-at-accessiway-4419441356</x:v>
      </x:c>
    </x:row>
    <x:row r="10">
      <x:c r="A10" s="20" t="n">
        <x:v>9</x:v>
      </x:c>
      <x:c r="B10" s="20" t="str">
        <x:v>Med</x:v>
      </x:c>
      <x:c r="C10" s="20" t="str">
        <x:v>Accessiway</x:v>
      </x:c>
      <x:c r="D10" s="21" t="str">
        <x:v>Backend Developer</x:v>
      </x:c>
      <x:c r="E10" s="21" t="str">
        <x:v>Turin, Italy</x:v>
      </x:c>
      <x:c r="F10" s="21" t="str">
        <x:v>2026-08-08</x:v>
      </x:c>
      <x:c r="G10" s="21" t="str">
        <x:v>PENDING REVIEW</x:v>
      </x:c>
      <x:c r="H10" s="21" t="str">
        <x:v>Evaluate fit before applying</x:v>
      </x:c>
      <x:c r="I10" s="21" t="str">
        <x:v>Check Italian language requirement and Turin attendance.</x:v>
      </x:c>
      <x:c r="J10" s="21" t="str">
        <x:v>https://it.linkedin.com/jobs/view/backend-developer-at-accessiway-4404944451</x:v>
      </x:c>
    </x:row>
    <x:row r="11">
      <x:c r="A11" s="20" t="n">
        <x:v>10</x:v>
      </x:c>
      <x:c r="B11" s="20" t="str">
        <x:v>Med</x:v>
      </x:c>
      <x:c r="C11" s="20" t="str">
        <x:v>DUNE Talent</x:v>
      </x:c>
      <x:c r="D11" s="21" t="str">
        <x:v>AI &amp; Machine Learning Engineer</x:v>
      </x:c>
      <x:c r="E11" s="21" t="str">
        <x:v>Rome, Italy</x:v>
      </x:c>
      <x:c r="F11" s="21" t="str">
        <x:v>2026-07-28</x:v>
      </x:c>
      <x:c r="G11" s="21" t="str">
        <x:v>PENDING REVIEW</x:v>
      </x:c>
      <x:c r="H11" s="21" t="str">
        <x:v>Evaluate fit before applying</x:v>
      </x:c>
      <x:c r="I11" s="21" t="str">
        <x:v>Recruiting agency. Verify end client, language, and ML depth.</x:v>
      </x:c>
      <x:c r="J11" s="21" t="str">
        <x:v>https://it.linkedin.com/jobs/view/ai-machine-learning-engineer-at-dune-talent-4445745869</x:v>
      </x:c>
    </x:row>
    <x:row r="12">
      <x:c r="A12" s="20" t="n">
        <x:v>11</x:v>
      </x:c>
      <x:c r="B12" s="20" t="str">
        <x:v>Med</x:v>
      </x:c>
      <x:c r="C12" s="20" t="str">
        <x:v>Translated</x:v>
      </x:c>
      <x:c r="D12" s="21" t="str">
        <x:v>Full Stack Engineer (On-site)</x:v>
      </x:c>
      <x:c r="E12" s="21" t="str">
        <x:v>Rome, Italy</x:v>
      </x:c>
      <x:c r="F12" s="21" t="str">
        <x:v>2026-08-19</x:v>
      </x:c>
      <x:c r="G12" s="21" t="str">
        <x:v>PENDING REVIEW</x:v>
      </x:c>
      <x:c r="H12" s="21" t="str">
        <x:v>Check on-site feasibility</x:v>
      </x:c>
      <x:c r="I12" s="21" t="str">
        <x:v>On-site in Rome. Check relocation or attendance feasibility.</x:v>
      </x:c>
      <x:c r="J12" s="21" t="str">
        <x:v>https://it.linkedin.com/jobs/view/full-stack-engineer-on-site-at-translated-4453400720</x:v>
      </x:c>
    </x:row>
    <x:row r="13">
      <x:c r="A13" s="20" t="n">
        <x:v>12</x:v>
      </x:c>
      <x:c r="B13" s="20" t="str">
        <x:v>Med</x:v>
      </x:c>
      <x:c r="C13" s="20" t="str">
        <x:v>Alpitronic</x:v>
      </x:c>
      <x:c r="D13" s="21" t="str">
        <x:v>Full Stack Developer - Web Applications</x:v>
      </x:c>
      <x:c r="E13" s="21" t="str">
        <x:v>Bolzano, Italy</x:v>
      </x:c>
      <x:c r="F13" s="21" t="str">
        <x:v>2026-08-15</x:v>
      </x:c>
      <x:c r="G13" s="21" t="str">
        <x:v>PENDING REVIEW</x:v>
      </x:c>
      <x:c r="H13" s="21" t="str">
        <x:v>Evaluate fit before applying</x:v>
      </x:c>
      <x:c r="I13" s="21" t="str">
        <x:v>Check Bolzano attendance, remote policy, and language requirement.</x:v>
      </x:c>
      <x:c r="J13" s="21" t="str">
        <x:v>https://it.linkedin.com/jobs/view/full-stack-developer-web-applications-m-f-d-at-alpitronic-4414300635</x:v>
      </x:c>
    </x:row>
    <x:row r="14">
      <x:c r="A14" s="20" t="n">
        <x:v>13</x:v>
      </x:c>
      <x:c r="B14" s="20" t="str">
        <x:v>Med</x:v>
      </x:c>
      <x:c r="C14" s="20" t="str">
        <x:v>Fujifilm Italia</x:v>
      </x:c>
      <x:c r="D14" s="21" t="str">
        <x:v>Software Developer Front-End</x:v>
      </x:c>
      <x:c r="E14" s="21" t="str">
        <x:v>Bolzano, Italy</x:v>
      </x:c>
      <x:c r="F14" s="21" t="str">
        <x:v>2026-08-19</x:v>
      </x:c>
      <x:c r="G14" s="21" t="str">
        <x:v>PENDING REVIEW</x:v>
      </x:c>
      <x:c r="H14" s="21" t="str">
        <x:v>Evaluate fit before applying</x:v>
      </x:c>
      <x:c r="I14" s="21" t="str">
        <x:v>Frontend-focused role. Check Bolzano attendance and role fit.</x:v>
      </x:c>
      <x:c r="J14" s="21" t="str">
        <x:v>https://it.linkedin.com/jobs/view/software-developer-front-end-at-fujifilm-italia-4456335016</x:v>
      </x:c>
    </x:row>
    <x:row r="15">
      <x:c r="A15" s="20" t="n">
        <x:v>14</x:v>
      </x:c>
      <x:c r="B15" s="20" t="str">
        <x:v>Med</x:v>
      </x:c>
      <x:c r="C15" s="20" t="str">
        <x:v>Alpitronic</x:v>
      </x:c>
      <x:c r="D15" s="21" t="str">
        <x:v>Software Developer - User Interfaces</x:v>
      </x:c>
      <x:c r="E15" s="21" t="str">
        <x:v>Bolzano, Italy</x:v>
      </x:c>
      <x:c r="F15" s="21" t="str">
        <x:v>2026-08-22</x:v>
      </x:c>
      <x:c r="G15" s="21" t="str">
        <x:v>PENDING REVIEW</x:v>
      </x:c>
      <x:c r="H15" s="21" t="str">
        <x:v>Evaluate fit before applying</x:v>
      </x:c>
      <x:c r="I15" s="21" t="str">
        <x:v>UI-focused role. Check Bolzano attendance and role fit.</x:v>
      </x:c>
      <x:c r="J15" s="21" t="str">
        <x:v>https://it.linkedin.com/jobs/view/software-developer-user-interfaces-m-f-d-at-alpitronic-4411889069</x:v>
      </x:c>
    </x:row>
    <x:row r="16">
      <x:c r="A16" s="20" t="n">
        <x:v>15</x:v>
      </x:c>
      <x:c r="B16" s="20" t="str">
        <x:v>Low</x:v>
      </x:c>
      <x:c r="C16" s="20" t="str">
        <x:v>TAS</x:v>
      </x:c>
      <x:c r="D16" s="21" t="str">
        <x:v>Senior AI Software Engineer</x:v>
      </x:c>
      <x:c r="E16" s="21" t="str">
        <x:v>Bologna, Italy</x:v>
      </x:c>
      <x:c r="F16" s="21" t="str">
        <x:v>2026-06-24</x:v>
      </x:c>
      <x:c r="G16" s="21" t="str">
        <x:v>PENDING REVIEW</x:v>
      </x:c>
      <x:c r="H16" s="21" t="str">
        <x:v>Low priority, verify seniority and ML depth</x:v>
      </x:c>
      <x:c r="I16" s="21" t="str">
        <x:v>Senior title and ML-specific experience gap.</x:v>
      </x:c>
      <x:c r="J16" s="21" t="str">
        <x:v>https://it.linkedin.com/jobs/view/senior-ai-software-engineer-at-tas-4310735002</x:v>
      </x:c>
    </x:row>
    <x:row r="17">
      <x:c r="A17" s="20" t="n">
        <x:v>16</x:v>
      </x:c>
      <x:c r="B17" s="20" t="str">
        <x:v>Low</x:v>
      </x:c>
      <x:c r="C17" s="20" t="str">
        <x:v>TAS</x:v>
      </x:c>
      <x:c r="D17" s="21" t="str">
        <x:v>Senior AI Software Engineer</x:v>
      </x:c>
      <x:c r="E17" s="21" t="str">
        <x:v>Rome, Italy</x:v>
      </x:c>
      <x:c r="F17" s="21" t="str">
        <x:v>2026-06-24</x:v>
      </x:c>
      <x:c r="G17" s="21" t="str">
        <x:v>PENDING REVIEW</x:v>
      </x:c>
      <x:c r="H17" s="21" t="str">
        <x:v>Low priority, verify seniority and ML depth</x:v>
      </x:c>
      <x:c r="I17" s="21" t="str">
        <x:v>Senior title and ML-specific experience gap.</x:v>
      </x:c>
      <x:c r="J17" s="21" t="str">
        <x:v>https://it.linkedin.com/jobs/view/senior-ai-software-engineer-at-tas-4331741158</x:v>
      </x:c>
    </x:row>
    <x:row r="18">
      <x:c r="A18" s="20" t="n">
        <x:v>17</x:v>
      </x:c>
      <x:c r="B18" s="20" t="str">
        <x:v>Low</x:v>
      </x:c>
      <x:c r="C18" s="20" t="str">
        <x:v>NTT DATA</x:v>
      </x:c>
      <x:c r="D18" s="21" t="str">
        <x:v>Senior Machine Learning Engineer</x:v>
      </x:c>
      <x:c r="E18" s="21" t="str">
        <x:v>Rome, Italy</x:v>
      </x:c>
      <x:c r="F18" s="21" t="str">
        <x:v>2026-08-07</x:v>
      </x:c>
      <x:c r="G18" s="21" t="str">
        <x:v>PENDING REVIEW</x:v>
      </x:c>
      <x:c r="H18" s="21" t="str">
        <x:v>Low priority, verify seniority and ML depth</x:v>
      </x:c>
      <x:c r="I18" s="21" t="str">
        <x:v>Senior ML title and ML-specific experience gap. A different NTT DATA role is tracked.</x:v>
      </x:c>
      <x:c r="J18" s="21" t="str">
        <x:v>https://it.linkedin.com/jobs/view/senior-machine-learning-engineer-at-ntt-data-europe-latam-4441472240</x:v>
      </x:c>
    </x:row>
    <x:row r="19">
      <x:c r="A19" s="20" t="n">
        <x:v>18</x:v>
      </x:c>
      <x:c r="B19" s="20" t="str">
        <x:v>Low</x:v>
      </x:c>
      <x:c r="C19" s="20" t="str">
        <x:v>NTT DATA</x:v>
      </x:c>
      <x:c r="D19" s="21" t="str">
        <x:v>Senior Machine Learning Engineer</x:v>
      </x:c>
      <x:c r="E19" s="21" t="str">
        <x:v>Cosenza, Italy</x:v>
      </x:c>
      <x:c r="F19" s="21" t="str">
        <x:v>2026-08-07</x:v>
      </x:c>
      <x:c r="G19" s="21" t="str">
        <x:v>PENDING REVIEW</x:v>
      </x:c>
      <x:c r="H19" s="21" t="str">
        <x:v>Low priority, verify seniority and ML depth</x:v>
      </x:c>
      <x:c r="I19" s="21" t="str">
        <x:v>Senior ML title and ML-specific experience gap. A different NTT DATA role is tracked.</x:v>
      </x:c>
      <x:c r="J19" s="21" t="str">
        <x:v>https://it.linkedin.com/jobs/view/senior-machine-learning-engineer-at-ntt-data-europe-latam-4441454933</x:v>
      </x:c>
    </x:row>
  </x:sheetData>
  <x:conditionalFormatting sqref="B2:B19">
    <x:cfRule type="containsText" dxfId="0" priority="1" operator="containsText" text="High"/>
    <x:cfRule type="containsText" dxfId="1" priority="2" operator="containsText" text="Med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d5ae6d1c50e4e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5" hidden="0" customWidth="1"/>
    <x:col min="5" max="5" width="15" hidden="0" customWidth="1"/>
    <x:col min="6" max="6" width="15" hidden="0" customWidth="1"/>
    <x:col min="7" max="7" width="54" hidden="0" customWidth="1"/>
    <x:col min="8" max="8" width="24" hidden="0" customWidth="1"/>
    <x:col min="9" max="9" width="24" hidden="0" customWidth="1"/>
    <x:col min="10" max="10" width="66" hidden="0" customWidth="1"/>
  </x:cols>
  <x:sheetData>
    <x:row r="1">
      <x:c r="A1" s="19" t="str">
        <x:v>Sweep #</x:v>
      </x:c>
      <x:c r="B1" s="19" t="str">
        <x:v>Fit</x:v>
      </x:c>
      <x:c r="C1" s="19" t="str">
        <x:v>Company</x:v>
      </x:c>
      <x:c r="D1" s="19" t="str">
        <x:v>Role</x:v>
      </x:c>
      <x:c r="E1" s="19" t="str">
        <x:v>LinkedIn job ID</x:v>
      </x:c>
      <x:c r="F1" s="19" t="str">
        <x:v>Posted</x:v>
      </x:c>
      <x:c r="G1" s="19" t="str">
        <x:v>History check</x:v>
      </x:c>
      <x:c r="H1" s="19" t="str">
        <x:v>Recorded status</x:v>
      </x:c>
      <x:c r="I1" s="19" t="str">
        <x:v>Decision</x:v>
      </x:c>
      <x:c r="J1" s="19" t="str">
        <x:v>URL</x:v>
      </x:c>
    </x:row>
    <x:row r="2">
      <x:c r="A2" s="20" t="n">
        <x:v>1</x:v>
      </x:c>
      <x:c r="B2" s="20" t="str">
        <x:v>High</x:v>
      </x:c>
      <x:c r="C2" s="20" t="str">
        <x:v>Hays</x:v>
      </x:c>
      <x:c r="D2" s="21" t="str">
        <x:v>AI Engineer - Generative AI &amp; Autonomous Agents</x:v>
      </x:c>
      <x:c r="E2" s="21" t="str">
        <x:v>4439208386</x:v>
      </x:c>
      <x:c r="F2" s="21" t="str">
        <x:v>2026-08-24</x:v>
      </x:c>
      <x:c r="G2" s="21" t="str">
        <x:v>Different role tracked: Value Engineer</x:v>
      </x:c>
      <x:c r="H2" s="21" t="str"/>
      <x:c r="I2" s="21" t="str">
        <x:v>PENDING</x:v>
      </x:c>
      <x:c r="J2" s="21" t="str">
        <x:v>https://it.linkedin.com/jobs/view/ai-engineer-generative-ai-autonomous-agents-at-hays-4439208386</x:v>
      </x:c>
    </x:row>
    <x:row r="3">
      <x:c r="A3" s="20" t="n">
        <x:v>2</x:v>
      </x:c>
      <x:c r="B3" s="20" t="str">
        <x:v>High</x:v>
      </x:c>
      <x:c r="C3" s="20" t="str">
        <x:v>Jet HR</x:v>
      </x:c>
      <x:c r="D3" s="21" t="str">
        <x:v>AI Software Engineer</x:v>
      </x:c>
      <x:c r="E3" s="21" t="str">
        <x:v>4456762931</x:v>
      </x:c>
      <x:c r="F3" s="21" t="str">
        <x:v>2026-08-20</x:v>
      </x:c>
      <x:c r="G3" s="21" t="str">
        <x:v>Different role tracked: AI Builder</x:v>
      </x:c>
      <x:c r="H3" s="21" t="str"/>
      <x:c r="I3" s="21" t="str">
        <x:v>PENDING</x:v>
      </x:c>
      <x:c r="J3" s="21" t="str">
        <x:v>https://it.linkedin.com/jobs/view/ai-software-engineer-at-jet-hr-4456762931</x:v>
      </x:c>
    </x:row>
    <x:row r="4">
      <x:c r="A4" s="20" t="n">
        <x:v>3</x:v>
      </x:c>
      <x:c r="B4" s="20" t="str">
        <x:v>High</x:v>
      </x:c>
      <x:c r="C4" s="20" t="str">
        <x:v>WeHunt</x:v>
      </x:c>
      <x:c r="D4" s="21" t="str">
        <x:v>Backend Developer (Node.js / TypeScript) - Full Remote</x:v>
      </x:c>
      <x:c r="E4" s="21" t="str">
        <x:v>4448290485</x:v>
      </x:c>
      <x:c r="F4" s="21" t="str">
        <x:v>2026-08-04</x:v>
      </x:c>
      <x:c r="G4" s="21" t="str">
        <x:v>SUBMITTED: Backend Developer (Node.js / TypeScript)</x:v>
      </x:c>
      <x:c r="H4" s="21" t="str">
        <x:v>SUBMITTED</x:v>
      </x:c>
      <x:c r="I4" s="21" t="str">
        <x:v>DONE</x:v>
      </x:c>
      <x:c r="J4" s="21" t="str">
        <x:v>https://it.linkedin.com/jobs/view/backend-developer-node-js-typescript-full-remote-at-wehunt-4448290485</x:v>
      </x:c>
    </x:row>
    <x:row r="5">
      <x:c r="A5" s="20" t="n">
        <x:v>4</x:v>
      </x:c>
      <x:c r="B5" s="20" t="str">
        <x:v>High</x:v>
      </x:c>
      <x:c r="C5" s="20" t="str">
        <x:v>Live Story</x:v>
      </x:c>
      <x:c r="D5" s="21" t="str">
        <x:v>AI Engineer</x:v>
      </x:c>
      <x:c r="E5" s="21" t="str">
        <x:v>4425916662</x:v>
      </x:c>
      <x:c r="F5" s="21" t="str">
        <x:v>2026-06-08</x:v>
      </x:c>
      <x:c r="G5" s="21" t="str">
        <x:v>DROPPED - model fine-tuning: AI Engineer</x:v>
      </x:c>
      <x:c r="H5" s="21" t="str">
        <x:v>DROPPED - model fine-tuning</x:v>
      </x:c>
      <x:c r="I5" s="21" t="str">
        <x:v>DONE</x:v>
      </x:c>
      <x:c r="J5" s="21" t="str">
        <x:v>https://it.linkedin.com/jobs/view/ai-engineer-at-live-story-4425916662</x:v>
      </x:c>
    </x:row>
    <x:row r="6">
      <x:c r="A6" s="20" t="n">
        <x:v>5</x:v>
      </x:c>
      <x:c r="B6" s="20" t="str">
        <x:v>High</x:v>
      </x:c>
      <x:c r="C6" s="20" t="str">
        <x:v>Moviri</x:v>
      </x:c>
      <x:c r="D6" s="21" t="str">
        <x:v>AI Engineer</x:v>
      </x:c>
      <x:c r="E6" s="21" t="str">
        <x:v>4445094325</x:v>
      </x:c>
      <x:c r="F6" s="21" t="str">
        <x:v>2026-07-31</x:v>
      </x:c>
      <x:c r="G6" s="21" t="str">
        <x:v>No matching role found</x:v>
      </x:c>
      <x:c r="H6" s="21" t="str"/>
      <x:c r="I6" s="21" t="str">
        <x:v>PENDING</x:v>
      </x:c>
      <x:c r="J6" s="21" t="str">
        <x:v>https://it.linkedin.com/jobs/view/ai-engineer-at-moviri-4445094325</x:v>
      </x:c>
    </x:row>
    <x:row r="7">
      <x:c r="A7" s="20" t="n">
        <x:v>6</x:v>
      </x:c>
      <x:c r="B7" s="20" t="str">
        <x:v>High</x:v>
      </x:c>
      <x:c r="C7" s="20" t="str">
        <x:v>Yakkyo</x:v>
      </x:c>
      <x:c r="D7" s="21" t="str">
        <x:v>Backend / Full-Stack Developer (Node.js + MongoDB)</x:v>
      </x:c>
      <x:c r="E7" s="21" t="str">
        <x:v>4456308134</x:v>
      </x:c>
      <x:c r="F7" s="21" t="str">
        <x:v>2026-08-19</x:v>
      </x:c>
      <x:c r="G7" s="21" t="str">
        <x:v>No matching role found</x:v>
      </x:c>
      <x:c r="H7" s="21" t="str"/>
      <x:c r="I7" s="21" t="str">
        <x:v>PENDING</x:v>
      </x:c>
      <x:c r="J7" s="21" t="str">
        <x:v>https://it.linkedin.com/jobs/view/backend-full-stack-developer-node-js-mongodb-at-yakkyo-4456308134</x:v>
      </x:c>
    </x:row>
    <x:row r="8">
      <x:c r="A8" s="20" t="n">
        <x:v>7</x:v>
      </x:c>
      <x:c r="B8" s="20" t="str">
        <x:v>High</x:v>
      </x:c>
      <x:c r="C8" s="20" t="str">
        <x:v>Amaris Consulting</x:v>
      </x:c>
      <x:c r="D8" s="21" t="str">
        <x:v>Software Engineer (TypeScript/Node.js)</x:v>
      </x:c>
      <x:c r="E8" s="21" t="str">
        <x:v>4411457839</x:v>
      </x:c>
      <x:c r="F8" s="21" t="str">
        <x:v>2026-08-22</x:v>
      </x:c>
      <x:c r="G8" s="21" t="str">
        <x:v>No matching role found</x:v>
      </x:c>
      <x:c r="H8" s="21" t="str"/>
      <x:c r="I8" s="21" t="str">
        <x:v>PENDING</x:v>
      </x:c>
      <x:c r="J8" s="21" t="str">
        <x:v>https://it.linkedin.com/jobs/view/software-engineer-typescript-node-js-italian-speaker-at-amaris-consulting-4411457839</x:v>
      </x:c>
    </x:row>
    <x:row r="9">
      <x:c r="A9" s="20" t="n">
        <x:v>8</x:v>
      </x:c>
      <x:c r="B9" s="20" t="str">
        <x:v>High</x:v>
      </x:c>
      <x:c r="C9" s="20" t="str">
        <x:v>TeamSystem</x:v>
      </x:c>
      <x:c r="D9" s="21" t="str">
        <x:v>Backend Developer Node.js &amp; TypeScript</x:v>
      </x:c>
      <x:c r="E9" s="21" t="str">
        <x:v>4445160506</x:v>
      </x:c>
      <x:c r="F9" s="21" t="str">
        <x:v>2026-08-07</x:v>
      </x:c>
      <x:c r="G9" s="21" t="str">
        <x:v>Different role tracked: Senior Full Stack Engineer</x:v>
      </x:c>
      <x:c r="H9" s="21" t="str"/>
      <x:c r="I9" s="21" t="str">
        <x:v>PENDING</x:v>
      </x:c>
      <x:c r="J9" s="21" t="str">
        <x:v>https://it.linkedin.com/jobs/view/backend-developer-node-js-typescript-at-teamsystem-4445160506</x:v>
      </x:c>
    </x:row>
    <x:row r="10">
      <x:c r="A10" s="20" t="n">
        <x:v>9</x:v>
      </x:c>
      <x:c r="B10" s="20" t="str">
        <x:v>Med</x:v>
      </x:c>
      <x:c r="C10" s="20" t="str">
        <x:v>Prima</x:v>
      </x:c>
      <x:c r="D10" s="21" t="str">
        <x:v>Software / Machine Learning Engineer</x:v>
      </x:c>
      <x:c r="E10" s="21" t="str">
        <x:v>4443791348</x:v>
      </x:c>
      <x:c r="F10" s="21" t="str">
        <x:v>2026-08-12</x:v>
      </x:c>
      <x:c r="G10" s="21" t="str">
        <x:v>No matching role found</x:v>
      </x:c>
      <x:c r="H10" s="21" t="str"/>
      <x:c r="I10" s="21" t="str">
        <x:v>PENDING</x:v>
      </x:c>
      <x:c r="J10" s="21" t="str">
        <x:v>https://it.linkedin.com/jobs/view/software-machine-learning-engineer-at-prima-4443791348</x:v>
      </x:c>
    </x:row>
    <x:row r="11">
      <x:c r="A11" s="20" t="n">
        <x:v>10</x:v>
      </x:c>
      <x:c r="B11" s="20" t="str">
        <x:v>Med</x:v>
      </x:c>
      <x:c r="C11" s="20" t="str">
        <x:v>Accessiway</x:v>
      </x:c>
      <x:c r="D11" s="21" t="str">
        <x:v>Fullstack Developer</x:v>
      </x:c>
      <x:c r="E11" s="21" t="str">
        <x:v>4419441356</x:v>
      </x:c>
      <x:c r="F11" s="21" t="str">
        <x:v>2026-08-20</x:v>
      </x:c>
      <x:c r="G11" s="21" t="str">
        <x:v>No matching role found</x:v>
      </x:c>
      <x:c r="H11" s="21" t="str"/>
      <x:c r="I11" s="21" t="str">
        <x:v>PENDING</x:v>
      </x:c>
      <x:c r="J11" s="21" t="str">
        <x:v>https://it.linkedin.com/jobs/view/fullstack-developer-at-accessiway-4419441356</x:v>
      </x:c>
    </x:row>
    <x:row r="12">
      <x:c r="A12" s="20" t="n">
        <x:v>11</x:v>
      </x:c>
      <x:c r="B12" s="20" t="str">
        <x:v>Med</x:v>
      </x:c>
      <x:c r="C12" s="20" t="str">
        <x:v>Accessiway</x:v>
      </x:c>
      <x:c r="D12" s="21" t="str">
        <x:v>Backend Developer</x:v>
      </x:c>
      <x:c r="E12" s="21" t="str">
        <x:v>4404944451</x:v>
      </x:c>
      <x:c r="F12" s="21" t="str">
        <x:v>2026-08-08</x:v>
      </x:c>
      <x:c r="G12" s="21" t="str">
        <x:v>No matching role found</x:v>
      </x:c>
      <x:c r="H12" s="21" t="str"/>
      <x:c r="I12" s="21" t="str">
        <x:v>PENDING</x:v>
      </x:c>
      <x:c r="J12" s="21" t="str">
        <x:v>https://it.linkedin.com/jobs/view/backend-developer-at-accessiway-4404944451</x:v>
      </x:c>
    </x:row>
    <x:row r="13">
      <x:c r="A13" s="20" t="n">
        <x:v>12</x:v>
      </x:c>
      <x:c r="B13" s="20" t="str">
        <x:v>Med</x:v>
      </x:c>
      <x:c r="C13" s="20" t="str">
        <x:v>DUNE Talent</x:v>
      </x:c>
      <x:c r="D13" s="21" t="str">
        <x:v>AI &amp; Machine Learning Engineer</x:v>
      </x:c>
      <x:c r="E13" s="21" t="str">
        <x:v>4445745869</x:v>
      </x:c>
      <x:c r="F13" s="21" t="str">
        <x:v>2026-07-28</x:v>
      </x:c>
      <x:c r="G13" s="21" t="str">
        <x:v>No matching role found</x:v>
      </x:c>
      <x:c r="H13" s="21" t="str"/>
      <x:c r="I13" s="21" t="str">
        <x:v>PENDING</x:v>
      </x:c>
      <x:c r="J13" s="21" t="str">
        <x:v>https://it.linkedin.com/jobs/view/ai-machine-learning-engineer-at-dune-talent-4445745869</x:v>
      </x:c>
    </x:row>
    <x:row r="14">
      <x:c r="A14" s="20" t="n">
        <x:v>13</x:v>
      </x:c>
      <x:c r="B14" s="20" t="str">
        <x:v>Med</x:v>
      </x:c>
      <x:c r="C14" s="20" t="str">
        <x:v>Translated</x:v>
      </x:c>
      <x:c r="D14" s="21" t="str">
        <x:v>Full Stack Engineer (On-site)</x:v>
      </x:c>
      <x:c r="E14" s="21" t="str">
        <x:v>4453400720</x:v>
      </x:c>
      <x:c r="F14" s="21" t="str">
        <x:v>2026-08-19</x:v>
      </x:c>
      <x:c r="G14" s="21" t="str">
        <x:v>No matching role found</x:v>
      </x:c>
      <x:c r="H14" s="21" t="str"/>
      <x:c r="I14" s="21" t="str">
        <x:v>PENDING</x:v>
      </x:c>
      <x:c r="J14" s="21" t="str">
        <x:v>https://it.linkedin.com/jobs/view/full-stack-engineer-on-site-at-translated-4453400720</x:v>
      </x:c>
    </x:row>
    <x:row r="15">
      <x:c r="A15" s="20" t="n">
        <x:v>14</x:v>
      </x:c>
      <x:c r="B15" s="20" t="str">
        <x:v>Med</x:v>
      </x:c>
      <x:c r="C15" s="20" t="str">
        <x:v>Alpitronic</x:v>
      </x:c>
      <x:c r="D15" s="21" t="str">
        <x:v>Full Stack Developer - Web Applications</x:v>
      </x:c>
      <x:c r="E15" s="21" t="str">
        <x:v>4414300635</x:v>
      </x:c>
      <x:c r="F15" s="21" t="str">
        <x:v>2026-08-15</x:v>
      </x:c>
      <x:c r="G15" s="21" t="str">
        <x:v>No matching role found</x:v>
      </x:c>
      <x:c r="H15" s="21" t="str"/>
      <x:c r="I15" s="21" t="str">
        <x:v>PENDING</x:v>
      </x:c>
      <x:c r="J15" s="21" t="str">
        <x:v>https://it.linkedin.com/jobs/view/full-stack-developer-web-applications-m-f-d-at-alpitronic-4414300635</x:v>
      </x:c>
    </x:row>
    <x:row r="16">
      <x:c r="A16" s="20" t="n">
        <x:v>15</x:v>
      </x:c>
      <x:c r="B16" s="20" t="str">
        <x:v>Med</x:v>
      </x:c>
      <x:c r="C16" s="20" t="str">
        <x:v>Fujifilm Italia</x:v>
      </x:c>
      <x:c r="D16" s="21" t="str">
        <x:v>Software Developer Front-End</x:v>
      </x:c>
      <x:c r="E16" s="21" t="str">
        <x:v>4456335016</x:v>
      </x:c>
      <x:c r="F16" s="21" t="str">
        <x:v>2026-08-19</x:v>
      </x:c>
      <x:c r="G16" s="21" t="str">
        <x:v>No matching role found</x:v>
      </x:c>
      <x:c r="H16" s="21" t="str"/>
      <x:c r="I16" s="21" t="str">
        <x:v>PENDING</x:v>
      </x:c>
      <x:c r="J16" s="21" t="str">
        <x:v>https://it.linkedin.com/jobs/view/software-developer-front-end-at-fujifilm-italia-4456335016</x:v>
      </x:c>
    </x:row>
    <x:row r="17">
      <x:c r="A17" s="20" t="n">
        <x:v>16</x:v>
      </x:c>
      <x:c r="B17" s="20" t="str">
        <x:v>Med</x:v>
      </x:c>
      <x:c r="C17" s="20" t="str">
        <x:v>Alpitronic</x:v>
      </x:c>
      <x:c r="D17" s="21" t="str">
        <x:v>Software Developer - User Interfaces</x:v>
      </x:c>
      <x:c r="E17" s="21" t="str">
        <x:v>4411889069</x:v>
      </x:c>
      <x:c r="F17" s="21" t="str">
        <x:v>2026-08-22</x:v>
      </x:c>
      <x:c r="G17" s="21" t="str">
        <x:v>No matching role found</x:v>
      </x:c>
      <x:c r="H17" s="21" t="str"/>
      <x:c r="I17" s="21" t="str">
        <x:v>PENDING</x:v>
      </x:c>
      <x:c r="J17" s="21" t="str">
        <x:v>https://it.linkedin.com/jobs/view/software-developer-user-interfaces-m-f-d-at-alpitronic-4411889069</x:v>
      </x:c>
    </x:row>
    <x:row r="18">
      <x:c r="A18" s="20" t="n">
        <x:v>17</x:v>
      </x:c>
      <x:c r="B18" s="20" t="str">
        <x:v>Low</x:v>
      </x:c>
      <x:c r="C18" s="20" t="str">
        <x:v>TAS</x:v>
      </x:c>
      <x:c r="D18" s="21" t="str">
        <x:v>Senior AI Software Engineer</x:v>
      </x:c>
      <x:c r="E18" s="21" t="str">
        <x:v>4310735002</x:v>
      </x:c>
      <x:c r="F18" s="21" t="str">
        <x:v>2026-06-24</x:v>
      </x:c>
      <x:c r="G18" s="21" t="str">
        <x:v>Different role tracked: GTM Engineer</x:v>
      </x:c>
      <x:c r="H18" s="21" t="str"/>
      <x:c r="I18" s="21" t="str">
        <x:v>PENDING</x:v>
      </x:c>
      <x:c r="J18" s="21" t="str">
        <x:v>https://it.linkedin.com/jobs/view/senior-ai-software-engineer-at-tas-4310735002</x:v>
      </x:c>
    </x:row>
    <x:row r="19">
      <x:c r="A19" s="20" t="n">
        <x:v>18</x:v>
      </x:c>
      <x:c r="B19" s="20" t="str">
        <x:v>Low</x:v>
      </x:c>
      <x:c r="C19" s="20" t="str">
        <x:v>TAS</x:v>
      </x:c>
      <x:c r="D19" s="21" t="str">
        <x:v>Senior AI Software Engineer</x:v>
      </x:c>
      <x:c r="E19" s="21" t="str">
        <x:v>4331741158</x:v>
      </x:c>
      <x:c r="F19" s="21" t="str">
        <x:v>2026-06-24</x:v>
      </x:c>
      <x:c r="G19" s="21" t="str">
        <x:v>Different role tracked: GTM Engineer</x:v>
      </x:c>
      <x:c r="H19" s="21" t="str"/>
      <x:c r="I19" s="21" t="str">
        <x:v>PENDING</x:v>
      </x:c>
      <x:c r="J19" s="21" t="str">
        <x:v>https://it.linkedin.com/jobs/view/senior-ai-software-engineer-at-tas-4331741158</x:v>
      </x:c>
    </x:row>
    <x:row r="20">
      <x:c r="A20" s="20" t="n">
        <x:v>19</x:v>
      </x:c>
      <x:c r="B20" s="20" t="str">
        <x:v>Low</x:v>
      </x:c>
      <x:c r="C20" s="20" t="str">
        <x:v>NTT DATA</x:v>
      </x:c>
      <x:c r="D20" s="21" t="str">
        <x:v>Senior Machine Learning Engineer</x:v>
      </x:c>
      <x:c r="E20" s="21" t="str">
        <x:v>4441472240</x:v>
      </x:c>
      <x:c r="F20" s="21" t="str">
        <x:v>2026-08-07</x:v>
      </x:c>
      <x:c r="G20" s="21" t="str">
        <x:v>Different role tracked: Platform Engineer with AI</x:v>
      </x:c>
      <x:c r="H20" s="21" t="str"/>
      <x:c r="I20" s="21" t="str">
        <x:v>PENDING</x:v>
      </x:c>
      <x:c r="J20" s="21" t="str">
        <x:v>https://it.linkedin.com/jobs/view/senior-machine-learning-engineer-at-ntt-data-europe-latam-4441472240</x:v>
      </x:c>
    </x:row>
    <x:row r="21">
      <x:c r="A21" s="20" t="n">
        <x:v>20</x:v>
      </x:c>
      <x:c r="B21" s="20" t="str">
        <x:v>Low</x:v>
      </x:c>
      <x:c r="C21" s="20" t="str">
        <x:v>NTT DATA</x:v>
      </x:c>
      <x:c r="D21" s="21" t="str">
        <x:v>Senior Machine Learning Engineer</x:v>
      </x:c>
      <x:c r="E21" s="21" t="str">
        <x:v>4441454933</x:v>
      </x:c>
      <x:c r="F21" s="21" t="str">
        <x:v>2026-08-07</x:v>
      </x:c>
      <x:c r="G21" s="21" t="str">
        <x:v>Different role tracked: Platform Engineer with AI</x:v>
      </x:c>
      <x:c r="H21" s="21" t="str"/>
      <x:c r="I21" s="21" t="str">
        <x:v>PENDING</x:v>
      </x:c>
      <x:c r="J21" s="21" t="str">
        <x:v>https://it.linkedin.com/jobs/view/senior-machine-learning-engineer-at-ntt-data-europe-latam-4441454933</x:v>
      </x:c>
    </x:row>
  </x:sheetData>
  <x:conditionalFormatting sqref="I2:I21">
    <x:cfRule type="containsText" dxfId="3" priority="1" operator="containsText" text="DONE"/>
    <x:cfRule type="containsText" dxfId="4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2ab06c00b124e52"/>
  </x:tableParts>
</x:worksheet>
</file>