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New leads" sheetId="2" state="visible" r:id="rId4"/>
    <sheet name="FlowSpace-like platforms" sheetId="3" state="visible" r:id="rId5"/>
    <sheet name="Submitted" sheetId="4" state="visible" r:id="rId6"/>
    <sheet name="Needs you or blocked" sheetId="5" state="visible" r:id="rId7"/>
    <sheet name="Outreach targets" sheetId="6" state="visible" r:id="rId8"/>
  </sheets>
  <definedNames>
    <definedName function="false" hidden="true" localSheetId="2" name="_xlnm._FilterDatabase" vbProcedure="false">'FlowSpace-like platforms'!$A$4:$N$35</definedName>
    <definedName function="false" hidden="true" localSheetId="4" name="_xlnm._FilterDatabase" vbProcedure="false">'Needs you or blocked'!$A$4:$F$45</definedName>
    <definedName function="false" hidden="true" localSheetId="1" name="_xlnm._FilterDatabase" vbProcedure="false">'New leads'!$A$4:$M$338</definedName>
    <definedName function="false" hidden="true" localSheetId="5" name="_xlnm._FilterDatabase" vbProcedure="false">'Outreach targets'!$A$4:$K$38</definedName>
    <definedName function="false" hidden="true" localSheetId="3" name="_xlnm._FilterDatabase" vbProcedure="false">Submitted!$A$4:$G$34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<sst xmlns="http://schemas.openxmlformats.org/spreadsheetml/2006/main" count="5318" uniqueCount="2861">
  <si>
    <t xml:space="preserve">Job search - state of play, 6 August 2026</t>
  </si>
  <si>
    <t xml:space="preserve">Prabhavit Gupta - Venice, Italy - Indian passport with an Italian EU long-term residence permit</t>
  </si>
  <si>
    <t xml:space="preserve">Measure</t>
  </si>
  <si>
    <t xml:space="preserve">Count</t>
  </si>
  <si>
    <t xml:space="preserve">Where</t>
  </si>
  <si>
    <t xml:space="preserve">Total leads on this workbook</t>
  </si>
  <si>
    <t xml:space="preserve">both lead tabs</t>
  </si>
  <si>
    <t xml:space="preserve">  general leads, not applied to yet</t>
  </si>
  <si>
    <t xml:space="preserve">'New leads' tab</t>
  </si>
  <si>
    <t xml:space="preserve">  FlowSpace-like platform leads</t>
  </si>
  <si>
    <t xml:space="preserve">'FlowSpace-like platforms' tab</t>
  </si>
  <si>
    <t xml:space="preserve">Tier 1, workable from Venice today (general)</t>
  </si>
  <si>
    <t xml:space="preserve">'New leads' tab, filter Tier = 1</t>
  </si>
  <si>
    <t xml:space="preserve">Applications submitted, all confirmed on screen</t>
  </si>
  <si>
    <t xml:space="preserve">'Submitted' tab</t>
  </si>
  <si>
    <t xml:space="preserve">Blocked or needing him (one row per role)</t>
  </si>
  <si>
    <t xml:space="preserve">'Needs you or blocked' tab</t>
  </si>
  <si>
    <t xml:space="preserve">  of those, he can clear himself in a browser</t>
  </si>
  <si>
    <t xml:space="preserve">'Needs you or blocked' tab, green rows</t>
  </si>
  <si>
    <t xml:space="preserve">Outreach targets, companies to approach directly</t>
  </si>
  <si>
    <t xml:space="preserve">'Outreach targets' tab</t>
  </si>
  <si>
    <t xml:space="preserve">  of those, open to both a job and paid project work</t>
  </si>
  <si>
    <t xml:space="preserve">'Outreach targets' tab, filter Approach as = both</t>
  </si>
  <si>
    <t xml:space="preserve">Highest fit score, general leads</t>
  </si>
  <si>
    <t xml:space="preserve">Median fit score, general leads</t>
  </si>
  <si>
    <t xml:space="preserve">Highest fit score, platform leads</t>
  </si>
  <si>
    <t xml:space="preserve">How to read the lead sheets</t>
  </si>
  <si>
    <t xml:space="preserve">Tier 1 (green)</t>
  </si>
  <si>
    <t xml:space="preserve">Workable from Venice today. No move and no authorisation question.</t>
  </si>
  <si>
    <t xml:space="preserve">Tier 2 (amber)</t>
  </si>
  <si>
    <t xml:space="preserve">Inside the EU but it means relocating, or a hybrid office he would move for. His Italian EU long-term residence permit covers the move without sponsorship, but he still files the local residence permit.</t>
  </si>
  <si>
    <t xml:space="preserve">Tier 3 (red)</t>
  </si>
  <si>
    <t xml:space="preserve">Out of reach or needs authorisation he does not have. Ireland and Denmark opted out of the EU long-term residence directive, so his Italian permit does NOT reach them; those are sponsorship applications. So are the UK, Switzerland, the US and Canada.</t>
  </si>
  <si>
    <t xml:space="preserve">Fit /100</t>
  </si>
  <si>
    <t xml:space="preserve">role match 30 + eligibility and work basis 25 + stack overlap 20 + seniority realism 15 + signal quality 10, minus a capped penalty for named gaps.</t>
  </si>
  <si>
    <t xml:space="preserve">Verification column</t>
  </si>
  <si>
    <t xml:space="preserve">Read this before trusting a row. Ashby posting pages are client-rendered and a DELETED Ashby URL still serves its old page title, so a title match proves nothing. Greenhouse board APIs report closed jobs as live and the posting URL then serves the board index. Rows marked medium or low were not fully readable.</t>
  </si>
  <si>
    <t xml:space="preserve">Watch-outs column</t>
  </si>
  <si>
    <t xml:space="preserve">The honest gaps, named. No Java, no Go or Rust, no deep Python backend, no Kubernetes, no Vue, no C# or .NET, no ML research, no public GitHub, no CS degree, English only.</t>
  </si>
  <si>
    <t xml:space="preserve">Language</t>
  </si>
  <si>
    <t xml:space="preserve">English only. Italian, German, Dutch and French roles are flagged. The Italian-language question has now cost several strong Italy-based roles, which is worth weighing against a B1 course.</t>
  </si>
  <si>
    <t xml:space="preserve">Standing rules applied</t>
  </si>
  <si>
    <t xml:space="preserve">CV on every application. Salary or rate EUR 30,000-40,000 stated plainly, or EUR 200 a day on contract; single-number fields get 30000. Never leave a cover-letter field blank, even an optional one. Where a form demands 3+ years, write 3. Passport country India. Pronouns he/him, gender male. Sole trader with an individual Partita IVA, no limited company. No em dashes anywhere.</t>
  </si>
  <si>
    <t xml:space="preserve">New leads, not applied to yet</t>
  </si>
  <si>
    <t xml:space="preserve">Sorted by fit. Tier 1 green is workable from Venice today, tier 2 amber means relocating inside the EU, tier 3 red is out of reach. Read the Verification column before trusting a row: rows harvested from a LinkedIn or Indeed search were confirmed live and dated in a signed-in browser but their posting bodies were not opened individually, so eligibility, language and pay on those rows are unverified.</t>
  </si>
  <si>
    <t xml:space="preserve">Role</t>
  </si>
  <si>
    <t xml:space="preserve">Company</t>
  </si>
  <si>
    <t xml:space="preserve">Where / eligibility</t>
  </si>
  <si>
    <t xml:space="preserve">Tier</t>
  </si>
  <si>
    <t xml:space="preserve">Basis</t>
  </si>
  <si>
    <t xml:space="preserve">Language requirement</t>
  </si>
  <si>
    <t xml:space="preserve">Pay</t>
  </si>
  <si>
    <t xml:space="preserve">Posted</t>
  </si>
  <si>
    <t xml:space="preserve">Why it fits him</t>
  </si>
  <si>
    <t xml:space="preserve">Watch-outs (the honest gaps)</t>
  </si>
  <si>
    <t xml:space="preserve">Apply link</t>
  </si>
  <si>
    <t xml:space="preserve">Verification</t>
  </si>
  <si>
    <t xml:space="preserve">Automation Engineer</t>
  </si>
  <si>
    <t xml:space="preserve">Timeleft</t>
  </si>
  <si>
    <t xml:space="preserve">Do you have updated visa/work permit to be hired in your country of residence?  |  Remote - Europe</t>
  </si>
  <si>
    <t xml:space="preserve">1</t>
  </si>
  <si>
    <t xml:space="preserve">permanent</t>
  </si>
  <si>
    <t xml:space="preserve">English. The form has an English fluency question.</t>
  </si>
  <si>
    <t xml:space="preserve">not stated</t>
  </si>
  <si>
    <t xml:space="preserve">27 Jul 2026</t>
  </si>
  <si>
    <t xml:space="preserve">Asks 2 to 5 years. Make (Integromat), Zapier, n8n, Retool, MCP servers, agentic frameworks, Claude Code. Internal tooling, integrations and ops engineering.</t>
  </si>
  <si>
    <t xml:space="preserve">The Greenhouse body is thin, so confirm the stack in the JD before writing the pitch. No salary published.</t>
  </si>
  <si>
    <t xml:space="preserve">https://job-boards.greenhouse.io/timeleft/jobs/4917404101</t>
  </si>
  <si>
    <t xml:space="preserve">high - Greenhouse URL renders ONE posting titled Automation Engineer, Remote - Europe, with a full application form. Not a board index.</t>
  </si>
  <si>
    <t xml:space="preserve">AI Workflow Automation with n8n</t>
  </si>
  <si>
    <t xml:space="preserve">Conlane Construction via Freelancer.com</t>
  </si>
  <si>
    <t xml:space="preserve">not stated  |  Remote, client based in India</t>
  </si>
  <si>
    <t xml:space="preserve">freelance</t>
  </si>
  <si>
    <t xml:space="preserve">English only</t>
  </si>
  <si>
    <t xml:space="preserve">INR 1,500 to 12,500 paid on delivery, roughly EUR 16 to 135 total</t>
  </si>
  <si>
    <t xml:space="preserve">bidding ends in 6 days as of 6 Aug 2026</t>
  </si>
  <si>
    <t xml:space="preserve">n8n, OpenAI API, prompt engineering, WhatsApp Business API, REST APIs and webhooks, JavaScript and TypeScript, Node.js, CRM integration, PDF generation</t>
  </si>
  <si>
    <t xml:space="preserve">The budget is very low even as an MVP. The client frames it as an MVP that may become a longer partnership. Otherwise a good stack match.</t>
  </si>
  <si>
    <t xml:space="preserve">https://www.freelancer.com/projects/n8n/workflow-automation-with-40623345</t>
  </si>
  <si>
    <t xml:space="preserve">high - Rendered body confirms the title, the INR budget, the Hyderabad client and that it is open for bidding.</t>
  </si>
  <si>
    <t xml:space="preserve">AI Automation Specialist</t>
  </si>
  <si>
    <t xml:space="preserve">JustMarkets</t>
  </si>
  <si>
    <t xml:space="preserve">Europe  |  Remote, Europe</t>
  </si>
  <si>
    <t xml:space="preserve">Upper-Intermediate English level. No local language named.</t>
  </si>
  <si>
    <t xml:space="preserve">about 23 Jul 2026</t>
  </si>
  <si>
    <t xml:space="preserve">Make.com, n8n, Zapier, OpenAI API, Anthropic API, LangChain, Flowise, Apify, Google Sheets, Airtable, SQL, webhooks. Closest single match to his n8n and Make depth of anything found.</t>
  </si>
  <si>
    <t xml:space="preserve">Python scraping libraries named alongside the no-code tools. Employment type not stated. JustMarkets is a forex and CFD broker, so a regulated-finance domain. No pay figure.</t>
  </si>
  <si>
    <t xml:space="preserve">https://job-boards.eu.greenhouse.io/justmarkets/jobs/4929557101</t>
  </si>
  <si>
    <t xml:space="preserve">high - Rendered EU Greenhouse body shows the single posting title, the Europe location, the English-level line and a live application form.</t>
  </si>
  <si>
    <t xml:space="preserve">n8n Developer - Fully Automated Social Media Workflow</t>
  </si>
  <si>
    <t xml:space="preserve">Private client via Freelancer.com (Brooklyn)</t>
  </si>
  <si>
    <t xml:space="preserve">not stated  |  Remote, client based in the United States</t>
  </si>
  <si>
    <t xml:space="preserve">USD 30 to 250 project budget</t>
  </si>
  <si>
    <t xml:space="preserve">6 Aug 2026, ends in 6 days</t>
  </si>
  <si>
    <t xml:space="preserve">n8n, OpenAI and Anthropic APIs, approval gates which are human-in-the-loop, error handling and retry logic, Supabase and Postgres, social APIs, documentation and handover</t>
  </si>
  <si>
    <t xml:space="preserve">A US client, but this is remote freelance so no work permit is involved and he invoices from Italy. The budget is very low for the scope described. Fal.ai image and video generation is outside his stack.</t>
  </si>
  <si>
    <t xml:space="preserve">https://www.freelancer.com/projects/ai-hw-sw/developer-automated-workflow-fully</t>
  </si>
  <si>
    <t xml:space="preserve">high - Rendered body confirms the exact title, the USD 30 to 250 budget, the Brooklyn client and that it is open for bidding.</t>
  </si>
  <si>
    <t xml:space="preserve">Marketing Automation and CRM Setup for Online Platform</t>
  </si>
  <si>
    <t xml:space="preserve">Private client via Freelancer.com (Noida)</t>
  </si>
  <si>
    <t xml:space="preserve">INR 12,500 to 37,500, roughly EUR 135 to 405 total</t>
  </si>
  <si>
    <t xml:space="preserve">1 Aug 2026, ends in 2 days</t>
  </si>
  <si>
    <t xml:space="preserve">n8n, Zapier or Make, CRM automation with HubSpot or Zoho, lead capture from Meta Lead Ads, webhooks and API integrations, lead scoring and segmentation, email and WhatsApp journeys, dashboards, documentation and handover</t>
  </si>
  <si>
    <t xml:space="preserve">Closes in 2 days and 66 proposals are already in. The budget is low for a full CRM plus automation build. The posting demands the word AUTOMATION as the first line of the proposal and rejects replies that look AI-written.</t>
  </si>
  <si>
    <t xml:space="preserve">https://www.freelancer.com/projects/n8n/marketing-automation-crm-setup-for</t>
  </si>
  <si>
    <t xml:space="preserve">high - Rendered body confirms the title, the INR budget, 66 proposals, the Noida client and that it is open for bidding.</t>
  </si>
  <si>
    <t xml:space="preserve">Sales Tech and Automation Specialist (ongoing remote work)</t>
  </si>
  <si>
    <t xml:space="preserve">Sales agency via the n8n Community jobs board</t>
  </si>
  <si>
    <t xml:space="preserve">some overlap with European working hours; our clients are mostly based in the US  |  Remote, European working hours overlap wanted</t>
  </si>
  <si>
    <t xml:space="preserve">contract</t>
  </si>
  <si>
    <t xml:space="preserve">20 Jun 2026, newest reply 14 Jul 2026</t>
  </si>
  <si>
    <t xml:space="preserve">n8n, Make or Zapier, Airtable and SQL databases, webhooks and APIs, CRM automation with Close CRM, Calendly and Typeform, JavaScript code steps as a bonus</t>
  </si>
  <si>
    <t xml:space="preserve">Posted June 2026 and the most recent reply is someone asking whether the role is still open, with no confirmation from the poster. Ongoing retainer style work suits Partita IVA invoicing, but no rate is published. Apply route is an Airtable form.</t>
  </si>
  <si>
    <t xml:space="preserve">https://community.n8n.io/t/hiring-sales-tech-automation-specialist-ongoing-remote-work-crm-databases/300286</t>
  </si>
  <si>
    <t xml:space="preserve">medium - Rendered thread body confirms the title, the European working hours line, the stack and an Airtable Apply here link. Open status unconfirmed.</t>
  </si>
  <si>
    <t xml:space="preserve">n8n OpenAI Real Estate Scout</t>
  </si>
  <si>
    <t xml:space="preserve">Private client via Freelancer.com (Germany)</t>
  </si>
  <si>
    <t xml:space="preserve">not stated  |  Remote, client based in Germany</t>
  </si>
  <si>
    <t xml:space="preserve">English posting. Source data is German property portals so German listing text needs parsing, but no spoken German required.</t>
  </si>
  <si>
    <t xml:space="preserve">EUR 30 to 250 project budget</t>
  </si>
  <si>
    <t xml:space="preserve">6 Aug 2026, bidding ends in 6 days</t>
  </si>
  <si>
    <t xml:space="preserve">n8n, OpenAI API, JavaScript parsing helpers, email and HTML parsing, dedupe and scoring, Telegram and email notifications, scraping and parsing pipelines</t>
  </si>
  <si>
    <t xml:space="preserve">Budget is far below his day rate if scoped as stated. Skill tags also list Python and PHP. Marketplace escrow model, not a day-rate engagement. His individual Partita IVA is fine here, no limited company needed.</t>
  </si>
  <si>
    <t xml:space="preserve">https://www.freelancer.com/projects/n8n/openai-real-estate-scout</t>
  </si>
  <si>
    <t xml:space="preserve">high - Rendered body shows the exact title, full brief, the EUR 30 to 250 budget, the Germany client and an open Place your bid path.</t>
  </si>
  <si>
    <t xml:space="preserve">Solutions Engineer - EMEA</t>
  </si>
  <si>
    <t xml:space="preserve">DigitalGenius</t>
  </si>
  <si>
    <t xml:space="preserve">not stated  |  EMEA. An aggregator lists the same requisition under Romania - Remote.</t>
  </si>
  <si>
    <t xml:space="preserve">not stated, no local language requirement found</t>
  </si>
  <si>
    <t xml:space="preserve">13 Jul 2026 per aggregator</t>
  </si>
  <si>
    <t xml:space="preserve">Strongest thematic match in this batch. DigitalGenius is AI-powered customer service automation for e-commerce, so the product is effectively agentic workflows over APIs. Company provides Claude and Cursor subscriptions. Overlaps his n8n agentic work, LLM APIs, CRM automation and webhooks.</t>
  </si>
  <si>
    <t xml:space="preserve">Listed tech includes Python and ServiceNow. Small company, 11 to 50 people. Confirm the role accepts an Italy-based hire rather than Romania specifically.</t>
  </si>
  <si>
    <t xml:space="preserve">https://apply.workable.com/digitalgenius/j/E03A435AC1</t>
  </si>
  <si>
    <t xml:space="preserve">medium - Workable renders client-side. Only the document title resolved, confirming a single live requisition at this exact URL. Body did not render.</t>
  </si>
  <si>
    <t xml:space="preserve">IT Systems and Automation Engineer</t>
  </si>
  <si>
    <t xml:space="preserve">n8n</t>
  </si>
  <si>
    <t xml:space="preserve">We can sponsor visas to Germany; for any other country, you need to have existing right to work.  |  Remote, Europe (Berlin HQ)</t>
  </si>
  <si>
    <t xml:space="preserve">Our company language is English.</t>
  </si>
  <si>
    <t xml:space="preserve">n8n, REST APIs, webhooks, JavaScript and Bash scripting, Okta, Microsoft Entra ID, Google Workspace, GitHub, SSO and SCIM, SOC 2 and ISO 27001</t>
  </si>
  <si>
    <t xml:space="preserve">IMPORTANT: he already applied to an n8n role on 5 Aug and their stated rule is one role per 15 days with no re-apply inside 90 days, so this cannot be submitted until roughly 20 Aug at the earliest. Asks 2 to 4 years modern IT operations plus hands-on macOS MDM and identity-provider admin, which he does not have. His Italian permit satisfies the right-to-work condition without sponsorship.</t>
  </si>
  <si>
    <t xml:space="preserve">https://jobs.ashbyhq.com/n8n/5afbde12-defb-457d-a21e-584347141436</t>
  </si>
  <si>
    <t xml:space="preserve">high - Ashby page returned rendered body text: description, responsibilities, requirements, visa line and company-language line all read off the page. Cross-listed as live on euremotejobs.</t>
  </si>
  <si>
    <t xml:space="preserve">AI-Powered Content Automation and Distribution</t>
  </si>
  <si>
    <t xml:space="preserve">Private client via Freelancer.com (Serampore)</t>
  </si>
  <si>
    <t xml:space="preserve">bidding ends in 5 days as of 6 Aug 2026</t>
  </si>
  <si>
    <t xml:space="preserve">n8n or Make.com with the client supplying API keys, LLM steps, approval gates, YouTube and Pinterest API integration, workflow documentation and duplication</t>
  </si>
  <si>
    <t xml:space="preserve">Low budget. Also asks for video editing and image generation with Stable Diffusion or Midjourney, outside his stack. The build happens on the client's API keys.</t>
  </si>
  <si>
    <t xml:space="preserve">https://www.freelancer.com/projects/ai-hw-sw/powered-content-automation-distribution</t>
  </si>
  <si>
    <t xml:space="preserve">high - Rendered body confirms the title, the INR budget, the client and that it is open for bidding.</t>
  </si>
  <si>
    <t xml:space="preserve">n8n Automation Expert for Lead Management and WhatsApp Automation</t>
  </si>
  <si>
    <t xml:space="preserve">Private EdTech client via Freelancer.com (Qatar)</t>
  </si>
  <si>
    <t xml:space="preserve">not stated  |  Remote, client based in Qatar</t>
  </si>
  <si>
    <t xml:space="preserve">USD 2 to 8 an hour</t>
  </si>
  <si>
    <t xml:space="preserve">n8n, OpenAI API, WhatsApp Cloud API, REST APIs and webhooks, Postgres, CRM integration, lead management and follow-up automation, production-grade workflows</t>
  </si>
  <si>
    <t xml:space="preserve">A rate of USD 2 to 8 an hour is far below his quote. Only worth a bid if he anchors well above the range. The client signals long-term partnership intent.</t>
  </si>
  <si>
    <t xml:space="preserve">https://www.freelancer.com/projects/n8n/automation-expert-needed-for-lead-40626185</t>
  </si>
  <si>
    <t xml:space="preserve">high - Rendered body confirms the exact title, the USD 2 to 8 an hour line, the Qatar client and that it is open for bidding.</t>
  </si>
  <si>
    <t xml:space="preserve">Analytics Implementation Consultant</t>
  </si>
  <si>
    <t xml:space="preserve">Sporty Group</t>
  </si>
  <si>
    <t xml:space="preserve">Europe - Remote  |  Europe, remote</t>
  </si>
  <si>
    <t xml:space="preserve">Application form asks Do you have English proficiency? No local language required.</t>
  </si>
  <si>
    <t xml:space="preserve">21 Jul 2026 per aggregator</t>
  </si>
  <si>
    <t xml:space="preserve">Minimum 3 years implementing and auditing Google Tag Manager and GA4, plus HTML, CSS, JavaScript and A/B testing. Client-facing tracking and event pipelines map onto his parsing pipelines and webhook plumbing.</t>
  </si>
  <si>
    <t xml:space="preserve">The 3-year bar is specifically GTM and GA4, which he does not have. Also touches AppsFlyer, Adjust and ad pixels. iGaming and sports betting sector.</t>
  </si>
  <si>
    <t xml:space="preserve">https://job-boards.greenhouse.io/sportygroup/jobs/4933981101</t>
  </si>
  <si>
    <t xml:space="preserve">high - Greenhouse page rendered one posting, Europe - Remote, and a full application form.</t>
  </si>
  <si>
    <t xml:space="preserve">AI Platform Engineer</t>
  </si>
  <si>
    <t xml:space="preserve">Undisclosed employer via Jobgether (AI platform req)</t>
  </si>
  <si>
    <t xml:space="preserve">not stated  |  Italy, remote</t>
  </si>
  <si>
    <t xml:space="preserve">Agent infrastructure, LLM observability and tracing, MCP servers, evaluation and governance systems. Conceptually very close to his n8n agentic workflows, tool definitions, retries and human-in-the-loop work.</t>
  </si>
  <si>
    <t xml:space="preserve">No Italian requirement stated. However Python and Google Cloud are core, plus infrastructure-as-code and cloud data warehouses, and he lacks deep Python and devops depth. Treat as a stretch. Employer hidden.</t>
  </si>
  <si>
    <t xml:space="preserve">https://jobs.lever.co/jobgether/f481d0d9-88e3-46e6-b263-0690a73d0786</t>
  </si>
  <si>
    <t xml:space="preserve">high - Rendered Lever page confirmed a single live posting titled AI Platform Engineer, location Italy, full-time remote.</t>
  </si>
  <si>
    <t xml:space="preserve">AI Product Engineer, Remote</t>
  </si>
  <si>
    <t xml:space="preserve">Distru</t>
  </si>
  <si>
    <t xml:space="preserve">Remote, Worldwide  |  Remote, worldwide</t>
  </si>
  <si>
    <t xml:space="preserve">not stated, English</t>
  </si>
  <si>
    <t xml:space="preserve">USD 120,000 to 200,000 a year</t>
  </si>
  <si>
    <t xml:space="preserve">Next.js, React, TypeScript, Node, PostgreSQL, GraphQL, Claude Code, LangGraph. Next.js plus Postgres plus coding agents is his daily kit.</t>
  </si>
  <si>
    <t xml:space="preserve">Asks 5+ years full-stack against his 3. US cannabis ERP, so US-hours overlap is likely despite the worldwide line. LangGraph is not on his CV. Pay far above his target band.</t>
  </si>
  <si>
    <t xml:space="preserve">https://jobs.lever.co/distru/b7bb8662-3ede-4b41-bc98-b8ca5678f8d3</t>
  </si>
  <si>
    <t xml:space="preserve">high - Rendered Lever page shows the single posting, the Remote Worldwide line, the salary band and a working apply button.</t>
  </si>
  <si>
    <t xml:space="preserve">Pavago</t>
  </si>
  <si>
    <t xml:space="preserve">Worldwide  |  Remote worldwide, but US business hours required</t>
  </si>
  <si>
    <t xml:space="preserve">English, excellent written and verbal communication. No local language.</t>
  </si>
  <si>
    <t xml:space="preserve">early Jul 2026</t>
  </si>
  <si>
    <t xml:space="preserve">Zapier, Make, n8n, Power Automate, OpenAI, Anthropic, Gemini, APIs, webhooks, Airtable, HubSpot. Near-total overlap with his no-code and LLM-integration work.</t>
  </si>
  <si>
    <t xml:space="preserve">US business hours from Venice is a real cost. Pavago is a placement agency, so the end client is unnamed and terms are opaque. No pay figure.</t>
  </si>
  <si>
    <t xml:space="preserve">https://euremotejobs.com/job/ai-automation-specialist-2/</t>
  </si>
  <si>
    <t xml:space="preserve">medium - Rendered euremotejobs body shows title, company, Worldwide plus US hours, the full tool list and Active status.</t>
  </si>
  <si>
    <t xml:space="preserve">n8n Automation Specialist</t>
  </si>
  <si>
    <t xml:space="preserve">Private client via Freelancer.com (Madrid)</t>
  </si>
  <si>
    <t xml:space="preserve">not stated  |  Remote, client based in Spain</t>
  </si>
  <si>
    <t xml:space="preserve">English posting, no language requirement stated</t>
  </si>
  <si>
    <t xml:space="preserve">bidding open with 6 days left as of 6 Aug 2026</t>
  </si>
  <si>
    <t xml:space="preserve">n8n, Google Sheets as CRM, API integration, workflow automation, CRM automation</t>
  </si>
  <si>
    <t xml:space="preserve">Very small budget. Skill tags include Salesforce and PHP; PHP is fine for him, Salesforce is not on his CV. The brief is thin, so scope creep risk. An EU client, so euro invoicing from his Partita IVA is clean.</t>
  </si>
  <si>
    <t xml:space="preserve">https://www.freelancer.com/projects/google-sheets/automation-specialist</t>
  </si>
  <si>
    <t xml:space="preserve">high - Rendered body confirms the title, EUR 30 to 250, the Madrid client and that it is open for bidding.</t>
  </si>
  <si>
    <t xml:space="preserve">Software Engineer - AI-Assisted Full-Stack Development</t>
  </si>
  <si>
    <t xml:space="preserve">Undisclosed employer via Jobgether (AI-assisted req)</t>
  </si>
  <si>
    <t xml:space="preserve">Fully remote work opportunity within the United Kingdom or compatible EU time zones  |  Italy, remote</t>
  </si>
  <si>
    <t xml:space="preserve">Professional working proficiency in English</t>
  </si>
  <si>
    <t xml:space="preserve">React, JavaScript, TypeScript, Node.js, REST and GraphQL APIs, SQL and NoSQL. The AI-assisted development framing lines up with his LLM API and agentic workflow experience.</t>
  </si>
  <si>
    <t xml:space="preserve">English is stated explicitly and no Italian appears, a clean pass. The basis is a contractor FTE engagement model, so compare against his day rate rather than a salary. Python and FastAPI are listed on the backend and he lacks deep Python. Docker, RabbitMQ and cloud also listed. Employer hidden.</t>
  </si>
  <si>
    <t xml:space="preserve">https://jobs.lever.co/jobgether/ba7cdbb8-ff78-4514-9974-ab8db0a51f22</t>
  </si>
  <si>
    <t xml:space="preserve">high - Rendered Lever page confirmed a single live posting, location Italy, with the English proficiency line and an active apply option.</t>
  </si>
  <si>
    <t xml:space="preserve">Junior AI Engineer</t>
  </si>
  <si>
    <t xml:space="preserve">capital.com</t>
  </si>
  <si>
    <t xml:space="preserve">not stated  |  Limassol, Cyprus, hybrid, relocation</t>
  </si>
  <si>
    <t xml:space="preserve">2</t>
  </si>
  <si>
    <t xml:space="preserve">Good command of English, both written and verbal</t>
  </si>
  <si>
    <t xml:space="preserve">n8n, Zapier, Make, JavaScript, Python, REST APIs, SQL, relational databases, data warehouses, BI tools, LLM integrations</t>
  </si>
  <si>
    <t xml:space="preserve">Junior banding with no years floor and no degree requirement stated, which suits him unusually well. Cyprus pay may land at or below the low end of his band. Cyprus is English-working.</t>
  </si>
  <si>
    <t xml:space="preserve">https://jobs.lever.co/capital/371d503f-1eaf-4c83-a2d8-d312e44bca4d</t>
  </si>
  <si>
    <t xml:space="preserve">high - Rendered body showed the title, the Limassol location, n8n, Zapier and Make in the requirements, and an apply button.</t>
  </si>
  <si>
    <t xml:space="preserve">SEO Automation</t>
  </si>
  <si>
    <t xml:space="preserve">Eneba (LinkedIn-era repost)</t>
  </si>
  <si>
    <t xml:space="preserve">Work location of your choice: office, remote, opportunity to work and travel.  |  Remote, company is Lithuania based</t>
  </si>
  <si>
    <t xml:space="preserve">We're an international team and our business language of choice is English. Good English level is required, proficiency is preferred.</t>
  </si>
  <si>
    <t xml:space="preserve">EUR 30,996 to 39,288 a year</t>
  </si>
  <si>
    <t xml:space="preserve">Python, JavaScript, APIs, GitLab, DataForSEO, SimilarWeb, Google Search Console, Mixpanel, Databricks</t>
  </si>
  <si>
    <t xml:space="preserve">ALREADY APPLIED to this exact role on 5 Aug 2026 and it is confirmed on the Submitted tab. Recorded here only because the pay band is now visible and sits exactly on his target, which is useful context if they come back to him.</t>
  </si>
  <si>
    <t xml:space="preserve">https://jobs.eu.lever.co/eneba/df5397c1-489f-4eb9-a771-3d64eb42c86e</t>
  </si>
  <si>
    <t xml:space="preserve">high - Lever page rendered with the title, the salary band, the English line and an apply button.</t>
  </si>
  <si>
    <t xml:space="preserve">Full-Stack AI Engineer (mid-level)</t>
  </si>
  <si>
    <t xml:space="preserve">Ascending AI</t>
  </si>
  <si>
    <t xml:space="preserve">Found in the 5 August sweep. Full detail is in the batch shortlist docs saved to the Job Search project.</t>
  </si>
  <si>
    <t xml:space="preserve">see posting</t>
  </si>
  <si>
    <t xml:space="preserve">5 Aug 2026</t>
  </si>
  <si>
    <t xml:space="preserve">https://ascendingai.recruitee.com/o/full-stack-engineer-mid-level</t>
  </si>
  <si>
    <t xml:space="preserve">verified in a real browser during the 5 August sweep</t>
  </si>
  <si>
    <t xml:space="preserve">Meta Business Agents Setup Expert</t>
  </si>
  <si>
    <t xml:space="preserve">Private client via Freelancer.com (Quito)</t>
  </si>
  <si>
    <t xml:space="preserve">not stated  |  Remote, client based in Ecuador</t>
  </si>
  <si>
    <t xml:space="preserve">English posting. The client is in a Spanish-speaking market but no language requirement is stated.</t>
  </si>
  <si>
    <t xml:space="preserve">USD 250 to 750 project budget</t>
  </si>
  <si>
    <t xml:space="preserve">AI agents, CRM routing and lead qualification rules, lead generation automation, handover documentation</t>
  </si>
  <si>
    <t xml:space="preserve">A narrow configuration job inside Meta Business Manager rather than a build, so a weaker fit for his n8n depth. Same-day turnaround preferred, so he must be free immediately.</t>
  </si>
  <si>
    <t xml:space="preserve">https://www.freelancer.com/projects/crm/meta-business-agents-setup-expert</t>
  </si>
  <si>
    <t xml:space="preserve">high - Rendered body confirms the title, the USD 250 to 750 budget, the Quito client and that it is open for bidding.</t>
  </si>
  <si>
    <t xml:space="preserve">Revenue Operations Engineer | AI &amp; Automation (m/f/d)</t>
  </si>
  <si>
    <t xml:space="preserve">Superchat</t>
  </si>
  <si>
    <t xml:space="preserve">https://job-boards.eu.greenhouse.io/superchat/jobs/4937205101</t>
  </si>
  <si>
    <t xml:space="preserve">No Code / AI Automation Engineer (n8n, make, zapier)</t>
  </si>
  <si>
    <t xml:space="preserve">Stockly</t>
  </si>
  <si>
    <t xml:space="preserve">https://www.welcometothejungle.com/en/companies/stockly/jobs/no-code-ai-automation-engineer_paris</t>
  </si>
  <si>
    <t xml:space="preserve">AI Tutor - Software Engineering Specialist</t>
  </si>
  <si>
    <t xml:space="preserve">xAI</t>
  </si>
  <si>
    <t xml:space="preserve">https://job-boards.greenhouse.io/xai/jobs/5063490007</t>
  </si>
  <si>
    <t xml:space="preserve">Marketing AI and Automation Specialist</t>
  </si>
  <si>
    <t xml:space="preserve">Dorado Software Group (Portugal req)</t>
  </si>
  <si>
    <t xml:space="preserve">Portugal only  |  Portugal, remote</t>
  </si>
  <si>
    <t xml:space="preserve">English, no local language mentioned</t>
  </si>
  <si>
    <t xml:space="preserve">30 Jul 2026, deadline 28 Sep 2026</t>
  </si>
  <si>
    <t xml:space="preserve">HubSpot, Zapier, Make, n8n, Claude, ChatGPT, Copilot, CRM automation, lead scoring, prompt engineering, JavaScript, AI agents</t>
  </si>
  <si>
    <t xml:space="preserve">Portugal residence required, so a move. Demands a portfolio of at least one shipped AI marketing workflow at interview. Marketing-ops leaning.</t>
  </si>
  <si>
    <t xml:space="preserve">https://himalayas.app/companies/dorado-software-group/jobs/marketing-ai-automation-specialist-4568269099</t>
  </si>
  <si>
    <t xml:space="preserve">medium - Himalayas rendered title, full requirements, Portugal only and an apply path.</t>
  </si>
  <si>
    <t xml:space="preserve">Dorado Software Group (Poland req)</t>
  </si>
  <si>
    <t xml:space="preserve">Poland only  |  Poland, remote</t>
  </si>
  <si>
    <t xml:space="preserve">30 Jul 2026, deadline 29 Sep 2026</t>
  </si>
  <si>
    <t xml:space="preserve">HubSpot, Zapier, Make, n8n or HubSpot Breeze, ChatGPT, Claude, Copilot, CRM admin, prompt engineering, process documentation</t>
  </si>
  <si>
    <t xml:space="preserve">Poland residence required. Asks 2 years minimum in marketing operations, adjacent to but not identical to automation engineering.</t>
  </si>
  <si>
    <t xml:space="preserve">https://himalayas.app/companies/dorado-software-group/jobs/marketing-ai-automation-specialist-7630585410</t>
  </si>
  <si>
    <t xml:space="preserve">medium - Himalayas rendered title, Poland only, requirements and apply path.</t>
  </si>
  <si>
    <t xml:space="preserve">Dorado Software Group (Romania req)</t>
  </si>
  <si>
    <t xml:space="preserve">Romania only  |  Romania, remote</t>
  </si>
  <si>
    <t xml:space="preserve">31 Jul 2026, deadline 29 Sep 2026</t>
  </si>
  <si>
    <t xml:space="preserve">HubSpot, Zapier, Make, n8n, Claude, ChatGPT, Copilot, CRM automation, lead management, AI agents, content automation, JavaScript</t>
  </si>
  <si>
    <t xml:space="preserve">Romania residence required. Newest of the four country variants, so pick one and apply once.</t>
  </si>
  <si>
    <t xml:space="preserve">https://himalayas.app/companies/dorado-software-group/jobs/marketing-ai-automation-specialist-5796186857</t>
  </si>
  <si>
    <t xml:space="preserve">medium - Himalayas rendered title, Romania only, full skills list and apply path.</t>
  </si>
  <si>
    <t xml:space="preserve">Accounting Automation Engineer</t>
  </si>
  <si>
    <t xml:space="preserve">Spotter Labs</t>
  </si>
  <si>
    <t xml:space="preserve">Open to candidates from all countries  |  Remote, worldwide</t>
  </si>
  <si>
    <t xml:space="preserve">12 Jul 2026</t>
  </si>
  <si>
    <t xml:space="preserve">Zapier, Power Automate which he is certified in, APIs, ERP integration, Google Apps Script, dashboarding</t>
  </si>
  <si>
    <t xml:space="preserve">SQL, Python, Power Query and VBA all listed as required, and he is weak on Python with no VBA. Accounting domain is new. No n8n or Make in the stack.</t>
  </si>
  <si>
    <t xml:space="preserve">https://himalayas.app/companies/spotter-labs/jobs/accounting-automation-engineer</t>
  </si>
  <si>
    <t xml:space="preserve">medium - Himalayas rendered title, Open to candidates from all countries, full skills list and apply path.</t>
  </si>
  <si>
    <t xml:space="preserve">Solutions Engineer (Core AI)</t>
  </si>
  <si>
    <t xml:space="preserve">Mendix (Siemens)</t>
  </si>
  <si>
    <t xml:space="preserve">London | Rotterdam | Amsterdam | Munich | Berlin | Erlangen | Frankfurt | Stuttgart  |  Netherlands and Germany, remote. Amsterdam and Rotterdam are the best fits.</t>
  </si>
  <si>
    <t xml:space="preserve">English required. No German requirement stated.</t>
  </si>
  <si>
    <t xml:space="preserve">about 5 Aug 2026</t>
  </si>
  <si>
    <t xml:space="preserve">Customer-facing solutions engineering on LLM applications, RAG, agentic AI in production, enterprise APIs, events, identity and governance. Directly maps to his n8n agentic workflows, tool definitions and human-in-the-loop design. Low-code platform suits someone who came from Bubble.io.</t>
  </si>
  <si>
    <t xml:space="preserve">Language leans senior, production agentic AI at enterprise scale inside the Siemens ecosystem. No years figure given. He has no Mendix experience. London is one listed site, ignore that one.</t>
  </si>
  <si>
    <t xml:space="preserve">https://jobs.lever.co/mendix/c0c545fe-53ae-4eda-869f-da2871dac697</t>
  </si>
  <si>
    <t xml:space="preserve">high - Lever page rendered one posting with the multi-city location line, Full-time Remote, and an apply action.</t>
  </si>
  <si>
    <t xml:space="preserve">GTM Engineer (f/m/d)</t>
  </si>
  <si>
    <t xml:space="preserve">Integral</t>
  </si>
  <si>
    <t xml:space="preserve">Berlin  |  Germany, Berlin</t>
  </si>
  <si>
    <t xml:space="preserve">English, listed under English-speaking jobs, no German in the body</t>
  </si>
  <si>
    <t xml:space="preserve">Above-market salary, no figure</t>
  </si>
  <si>
    <t xml:space="preserve">3 Aug 2026</t>
  </si>
  <si>
    <t xml:space="preserve">HubSpot, Clay, Apollo, Zapier, Make, APIs, webhooks, data pipelines, AI agents and LLMs, Cursor, OpenAI tooling. Asks 2 to 4 years, which brackets him exactly.</t>
  </si>
  <si>
    <t xml:space="preserve">Berlin office, so a move. The (f/m/d) convention means confirm German is really not needed.</t>
  </si>
  <si>
    <t xml:space="preserve">https://www.arbeitnow.com/jobs/companies/integral-de/gtm-engineer-berlin-311461</t>
  </si>
  <si>
    <t xml:space="preserve">medium - No first-party ATS page reachable. arbeitnow rendered the full description, the 2 to 4 years line and an apply path.</t>
  </si>
  <si>
    <t xml:space="preserve">Implementation Consultant, CRM, Automation, Data, AI</t>
  </si>
  <si>
    <t xml:space="preserve">Swans</t>
  </si>
  <si>
    <t xml:space="preserve">Fully Remote, with quarterly in-person meetups in locations all over the globe chosen by popular vote of team members  |  Fully remote, indexed as Poland</t>
  </si>
  <si>
    <t xml:space="preserve">Professional English fluency, B2 level at a minimum, advising US-based law firms</t>
  </si>
  <si>
    <t xml:space="preserve">not stated, described as competitive with bonus</t>
  </si>
  <si>
    <t xml:space="preserve">23 Oct 2025 per aggregator</t>
  </si>
  <si>
    <t xml:space="preserve">HubSpot, Salesforce, Zoho, Pipedrive, Zapier, Make, n8n, Microsoft Power Platform, Airtable, ClickUp, OpenAI and Anthropic tools, REST APIs, Looker Studio. His Copilot Studio and Power Automate certification covers most of this.</t>
  </si>
  <si>
    <t xml:space="preserve">Client meetings Monday to Friday during US morning hours, so afternoon and evening work from Italy. Posted October 2025, so possibly an evergreen req. Consulting rather than building.</t>
  </si>
  <si>
    <t xml:space="preserve">https://jobs.ashbyhq.com/swans/c5c62cfc-8248-4295-8e00-36e3261025c4</t>
  </si>
  <si>
    <t xml:space="preserve">medium - Ashby body text WAS readable and showed the description, the fully-remote line and the US-hours schedule, so not a stale-title case. Apply button is JS-gated.</t>
  </si>
  <si>
    <t xml:space="preserve">Marketing Automation Specialist - AI Trainer</t>
  </si>
  <si>
    <t xml:space="preserve">10x.Team</t>
  </si>
  <si>
    <t xml:space="preserve">Based in the EU or UK  |  Remote, EU or UK</t>
  </si>
  <si>
    <t xml:space="preserve">EUR 83 to 140 an hour</t>
  </si>
  <si>
    <t xml:space="preserve">28 May 2026</t>
  </si>
  <si>
    <t xml:space="preserve">Marketing automation platform expertise used to train AI models. His n8n, Make, Zapier and HubSpot knowledge is the sellable asset.</t>
  </si>
  <si>
    <t xml:space="preserve">AI-training and annotation work rather than building, so a side-income lane not a career move. No guaranteed volume, so the headline rate may not translate. Oldest lead in the batch.</t>
  </si>
  <si>
    <t xml:space="preserve">https://jobs.ashbyhq.com/10xteam/ba5dbf6c-98a9-4a38-be25-b1ec100e12bc</t>
  </si>
  <si>
    <t xml:space="preserve">low - Ashby page returned only the JavaScript notice. Per the Ashby caveat a deleted posting still serves this title. Treat as unproven.</t>
  </si>
  <si>
    <t xml:space="preserve">Microsoft 365 AI and Automation Specialist (m/f/d)</t>
  </si>
  <si>
    <t xml:space="preserve">BEUMER Group</t>
  </si>
  <si>
    <t xml:space="preserve">Strong English communication skills; German language skills are an advantage in an international setting  |  Germany, Dortmund</t>
  </si>
  <si>
    <t xml:space="preserve">English is the stated working language, German only an advantage</t>
  </si>
  <si>
    <t xml:space="preserve">not stated, the posting asks for salary expectations</t>
  </si>
  <si>
    <t xml:space="preserve">M365 Copilot, Copilot Studio, prompt design, Power Automate, Power Apps, Dataverse, Microsoft Graph and API integration. A direct hit on his certified Copilot Studio and Power Automate skillset plus his agentic workflow work.</t>
  </si>
  <si>
    <t xml:space="preserve">Asks for several years in digital workplace or Power Platform environments, so 3 years is the low end. Purview and Entra ID governance is new ground. On-site oriented in Dortmund. Worth noting the wider pattern: most comparable internal-enablement roles in Germany, Belgium, Spain, Portugal, Poland and Czechia hard-require the local language, so this English-first posting is the exception.</t>
  </si>
  <si>
    <t xml:space="preserve">https://jobs.smartrecruiters.com/BEUMERGroup1/744000128890468-m365-ai-automation-specialist-m-f-d-</t>
  </si>
  <si>
    <t xml:space="preserve">high - Rendered body confirmed the title, BEUMER branding, full requirements and an active I'm interested apply control.</t>
  </si>
  <si>
    <t xml:space="preserve">Full Stack Engineer - Growth &amp; Marketing</t>
  </si>
  <si>
    <t xml:space="preserve">Treatwell</t>
  </si>
  <si>
    <t xml:space="preserve">https://jobs.workable.com/view/6PL9yBjhge85dfDyAs1tZS/remote-full-stack-engineer---growth-%26-marketing-in-italy-at-treatwell</t>
  </si>
  <si>
    <t xml:space="preserve">AI Engineer</t>
  </si>
  <si>
    <t xml:space="preserve">Lleverage.ai</t>
  </si>
  <si>
    <t xml:space="preserve">3</t>
  </si>
  <si>
    <t xml:space="preserve">https://lleverage.recruitee.com/o/ai-engineer-2</t>
  </si>
  <si>
    <t xml:space="preserve">Product Engineer</t>
  </si>
  <si>
    <t xml:space="preserve">Undisclosed employer via Jobgether</t>
  </si>
  <si>
    <t xml:space="preserve">Full-stack with a frontend emphasis, API integration, interfaces onto AI and ML systems, rapid prototyping, launching customer-facing product. Close to exactly what he did at FlowSpace, including the product ownership angle.</t>
  </si>
  <si>
    <t xml:space="preserve">No Italian requirement stated. The employer is hidden: the posting is listed on behalf of a partner company who manages all applications. Jobgether screens via AI matching before forwarding, so expect an extra filter layer. Healthcare domain familiarity valued but not required.</t>
  </si>
  <si>
    <t xml:space="preserve">https://jobs.lever.co/jobgether/7bb350c7-d399-431a-a69f-4cd38232d71e</t>
  </si>
  <si>
    <t xml:space="preserve">high - Rendered Lever page confirmed a single live posting titled Product Engineer, location Italy, full-time remote, with an active apply option.</t>
  </si>
  <si>
    <t xml:space="preserve">Full Stack Engineer (Next.js / Supabase / AI-Native Workflow)</t>
  </si>
  <si>
    <t xml:space="preserve">telmi</t>
  </si>
  <si>
    <t xml:space="preserve">https://wellfound.com/jobs/4079967-full-stack-engineer-next-js-supabase-ai-native-workflow</t>
  </si>
  <si>
    <t xml:space="preserve">AI Automation Engineer</t>
  </si>
  <si>
    <t xml:space="preserve">Super Technologies</t>
  </si>
  <si>
    <t xml:space="preserve">https://job-boards.eu.greenhouse.io/super/jobs/4821514101</t>
  </si>
  <si>
    <t xml:space="preserve">Power Platform Agentic Developer</t>
  </si>
  <si>
    <t xml:space="preserve">MC Engineering (Power Platform req)</t>
  </si>
  <si>
    <t xml:space="preserve">LinkedIn location field: Italy (remote)  |  Italy (remote)</t>
  </si>
  <si>
    <t xml:space="preserve">needs checking. Many Italian-market postings are Italian-language even when the title is in English.</t>
  </si>
  <si>
    <t xml:space="preserve">not stated on the listing</t>
  </si>
  <si>
    <t xml:space="preserve">posted within the last 30 days</t>
  </si>
  <si>
    <t xml:space="preserve">Power Platform plus agentic development is the exact intersection of his Microsoft certifications and his n8n agent work.</t>
  </si>
  <si>
    <t xml:space="preserve">Not individually opened. Confirm eligibility, working language and pay before investing time.</t>
  </si>
  <si>
    <t xml:space="preserve">https://www.linkedin.com/jobs/view/4416294264/</t>
  </si>
  <si>
    <t xml:space="preserve">medium - LinkedIn search listing, confirmed present and dated in a signed-in browser on 6 Aug 2026. The posting body was NOT opened individually, so eligibility, language and pay are unverified.</t>
  </si>
  <si>
    <t xml:space="preserve">AI Demo Operations Specialist</t>
  </si>
  <si>
    <t xml:space="preserve">Bloomreach</t>
  </si>
  <si>
    <t xml:space="preserve">Slovakia  |  Slovakia, an aggregator also listed Czech Republic</t>
  </si>
  <si>
    <t xml:space="preserve">EUR 42,000 to 52,000</t>
  </si>
  <si>
    <t xml:space="preserve">n8n, Claude Code, Cursor, MCP, OpenAI APIs, Anthropic APIs. Turning repetitive ops into AI-assisted workflows is exactly his FlowSpace work.</t>
  </si>
  <si>
    <t xml:space="preserve">An operations role rather than an engineering req, so it may cap title growth. Slovakia-based. The form asks visa sponsorship status.</t>
  </si>
  <si>
    <t xml:space="preserve">https://job-boards.greenhouse.io/bloomreach/jobs/8064322</t>
  </si>
  <si>
    <t xml:space="preserve">high - Rendered Greenhouse body shows one posting, the Slovakia location, the stated salary band and a full application form.</t>
  </si>
  <si>
    <t xml:space="preserve">CRM Systems and Automation Manager</t>
  </si>
  <si>
    <t xml:space="preserve">TripleTen (Portugal req)</t>
  </si>
  <si>
    <t xml:space="preserve">Excellent written and spoken English</t>
  </si>
  <si>
    <t xml:space="preserve">30 Jul 2026</t>
  </si>
  <si>
    <t xml:space="preserve">HubSpot, Planhat, Make, Zapier, n8n, Workato, workflow automation, APIs, process mapping, CRM administration</t>
  </si>
  <si>
    <t xml:space="preserve">Portugal residence required. Manager title with 3+ years minimum, so he is at the floor. Vendor management and telephony admin are outside his scope.</t>
  </si>
  <si>
    <t xml:space="preserve">https://himalayas.app/companies/tripleten/jobs/crm-systems-automation-manager-9409947081</t>
  </si>
  <si>
    <t xml:space="preserve">medium - Himalayas rendered title, Portugal only, responsibilities, the English line and apply path.</t>
  </si>
  <si>
    <t xml:space="preserve">TripleTen (Poland req)</t>
  </si>
  <si>
    <t xml:space="preserve">HubSpot, Planhat, Make, Zapier, n8n, Workato, CRM platforms, APIs, AI tools, process design</t>
  </si>
  <si>
    <t xml:space="preserve">Poland residence required. Manager scope includes vendor management and telephony he has not owned.</t>
  </si>
  <si>
    <t xml:space="preserve">https://himalayas.app/companies/tripleten/jobs/crm-systems-automation-manager-5814909795</t>
  </si>
  <si>
    <t xml:space="preserve">medium - Himalayas rendered title, Poland only, requirements, English line and apply path.</t>
  </si>
  <si>
    <t xml:space="preserve">Claude Integration for Recruitment Automation</t>
  </si>
  <si>
    <t xml:space="preserve">Private client via Freelancer.com</t>
  </si>
  <si>
    <t xml:space="preserve">not stated  |  Remote, client location field reads New York, United Kingdom</t>
  </si>
  <si>
    <t xml:space="preserve">Minimum GBP 36 an hour, average bid GBP 37 an hour</t>
  </si>
  <si>
    <t xml:space="preserve">client account created 3 Aug 2026, bidding ends in 5 days</t>
  </si>
  <si>
    <t xml:space="preserve">Anthropic API as the core requirement, ATS and CRM integration, resume screening and parsing, scheduling automation, candidate comms automation</t>
  </si>
  <si>
    <t xml:space="preserve">The best stated rate in this batch, roughly EUR 41 an hour against his EUR 25 quote. But 206 proposals are already in, so heavy competition, and the client is new with no feedback history. No limited company required.</t>
  </si>
  <si>
    <t xml:space="preserve">https://www.freelancer.com/projects/ai-integration/claude-integration-for-recruitment</t>
  </si>
  <si>
    <t xml:space="preserve">high - Rendered body confirms the title, the min GBP 36 an hour line, 206 proposals and an open bid path.</t>
  </si>
  <si>
    <t xml:space="preserve">AI Automation Engineer / n8n and AI Agent Developer</t>
  </si>
  <si>
    <t xml:space="preserve">Synergy Effect via the n8n Community jobs board</t>
  </si>
  <si>
    <t xml:space="preserve">not stated  |  Remote, the hiring company is EU based in Lithuania</t>
  </si>
  <si>
    <t xml:space="preserve">Compensation will be discussed individually based on experience, project scope and expected workload</t>
  </si>
  <si>
    <t xml:space="preserve">7 May 2026, newest reply 22 May 2026</t>
  </si>
  <si>
    <t xml:space="preserve">n8n production automations and AI agents, workflow logic with branching, retries, fallbacks, error handling and human approval steps, JavaScript, REST APIs, webhooks, JSON, basic SQL, CRM and ERP integrations, document and email automation. The closest match in this lane to his human-in-the-loop and retry work.</t>
  </si>
  <si>
    <t xml:space="preserve">Posted May 2026 with no activity since 22 May, so confirm it is still live before investing time. An EU company invoicing an Italian Partita IVA is straightforward and no limited company is required. Apply route is email with a CV plus written answers to eight questions including expected compensation, so he should anchor at EUR 200 a day.</t>
  </si>
  <si>
    <t xml:space="preserve">https://community.n8n.io/t/hiring-ai-automation-engineer-n8n-ai-agent-developer/294904</t>
  </si>
  <si>
    <t xml:space="preserve">medium - Rendered thread body confirms the title, the company, the full requirement list, the compensation sentence and the email apply path. Age is the risk.</t>
  </si>
  <si>
    <t xml:space="preserve">Alguna</t>
  </si>
  <si>
    <t xml:space="preserve">GR, IE + 5 more (Greece, Ireland, Italy, Portugal, South Africa, Spain, United Kingdom)  |  Remote, and Italy is on the list</t>
  </si>
  <si>
    <t xml:space="preserve">TypeScript, Next.js, Vercel, AWS, GitHub, CI/CD. Mid-level framing with no seniority gate stated.</t>
  </si>
  <si>
    <t xml:space="preserve">Golang is in the stack list and he does not have Go. Ireland and the UK on the list are not usable for him, so he should apply on the Italy basis. No salary stated.</t>
  </si>
  <si>
    <t xml:space="preserve">https://himalayas.app/companies/alguna/jobs/product-engineer</t>
  </si>
  <si>
    <t xml:space="preserve">medium - Himalayas rendered the exact title, company, country list and an apply path. Not cross-checked against Alguna's own ATS.</t>
  </si>
  <si>
    <t xml:space="preserve">Microsoft 365 AI and Automation Specialist (Beckum req)</t>
  </si>
  <si>
    <t xml:space="preserve">BEUMER Group (Beckum)</t>
  </si>
  <si>
    <t xml:space="preserve">Strong English communication skills; German language skills are an advantage  |  Germany, Beckum</t>
  </si>
  <si>
    <t xml:space="preserve">M365 Copilot, Copilot Studio, Power Automate, Power Apps, Dataverse, ALM, Microsoft Graph and APIs. Same profile as the Dortmund req.</t>
  </si>
  <si>
    <t xml:space="preserve">The board index calls this Digital Workplace AI and Automation Specialist but the rendered posting is titled Microsoft 365, so apply expecting the M365 scope. Beckum is a small town in North Rhine-Westphalia, so relocation is implied.</t>
  </si>
  <si>
    <t xml:space="preserve">https://jobs.smartrecruiters.com/BEUMERGroup1/744000118435467-digital-workplace-ai-automation-specialist-m-w-d-</t>
  </si>
  <si>
    <t xml:space="preserve">high - Rendered body confirmed location Beckum, the full requirement list and an active apply control.</t>
  </si>
  <si>
    <t xml:space="preserve">IT Integration Engineer (f/m/d)</t>
  </si>
  <si>
    <t xml:space="preserve">IDnow</t>
  </si>
  <si>
    <t xml:space="preserve">Do you need special work authorization to be employed in the country where this job is located?  |  Berlin or Munich, Germany, and Rennes, France</t>
  </si>
  <si>
    <t xml:space="preserve">English is our working language, hence why it is important for us to know your level. French and German are the two main languages spoken at IDnow, besides English.</t>
  </si>
  <si>
    <t xml:space="preserve">REST APIs, Python, Bash, JavaScript and Node.js, MCP servers, AI and ML integration, GitLab CI/CD, Terraform, AWS, Docker, Kubernetes</t>
  </si>
  <si>
    <t xml:space="preserve">Borderline against his gaps: Terraform, Docker, Kubernetes and AWS are all listed. Worth a look only because English is the stated working language. If those infrastructure items are hard requirements this is a pass.</t>
  </si>
  <si>
    <t xml:space="preserve">https://job-boards.greenhouse.io/idnow/jobs/4905098101</t>
  </si>
  <si>
    <t xml:space="preserve">high - Single Greenhouse posting. Rendered page shows one title, three locations, the working-language paragraph and a full form with work-authorization, visa-sponsorship and per-language proficiency questions.</t>
  </si>
  <si>
    <t xml:space="preserve">Software Engineer</t>
  </si>
  <si>
    <t xml:space="preserve">Octocom</t>
  </si>
  <si>
    <t xml:space="preserve">This is a remote role open to candidates based in Europe (CET plus or minus 2h preferred).  |  Remote Europe. Octocom is Lithuania-based.</t>
  </si>
  <si>
    <t xml:space="preserve">English, no other language required</t>
  </si>
  <si>
    <t xml:space="preserve">EUR 60,000 to 84,000 a year</t>
  </si>
  <si>
    <t xml:space="preserve">22 Jul 2026</t>
  </si>
  <si>
    <t xml:space="preserve">Asks roughly 2 to 5 years. TypeScript, React, TanStack Router, Tailwind, tRPC, PostgreSQL, Redis, worker threads, vector store, MCP, Azure, GCP. Venice is CET so the timezone rule is satisfied exactly.</t>
  </si>
  <si>
    <t xml:space="preserve">Pay well above his target usually means a higher bar. Also involves sandboxed Python and a vector store. Application is by email with a 280-character project description, so no standard form.</t>
  </si>
  <si>
    <t xml:space="preserve">https://startup.jobs/software-engineer-octocom-ltd-8787185</t>
  </si>
  <si>
    <t xml:space="preserve">high - startup.jobs renders one posting with the full body, salary band, posted date and an apply path.</t>
  </si>
  <si>
    <t xml:space="preserve">GTM Engineer</t>
  </si>
  <si>
    <t xml:space="preserve">Growth Today via the Clay community jobs board</t>
  </si>
  <si>
    <t xml:space="preserve">Europe / North America only  |  Remote, Europe or North America</t>
  </si>
  <si>
    <t xml:space="preserve">11 Mar 2026</t>
  </si>
  <si>
    <t xml:space="preserve">Clay, AI-assisted outbound, HubSpot and Salesforce automation, end-to-end campaign build from list building through enrichment to launch</t>
  </si>
  <si>
    <t xml:space="preserve">Posted March 2026, so treat as stale until confirmed. Asks for hands-on Clay plus 2+ years running outbound or SDR and AE experience, and his outbound work is engineering-side rather than quota-carrying. The basis is not stated, so confirm before assuming Partita IVA invoicing. Apply route is a Notion application page.</t>
  </si>
  <si>
    <t xml:space="preserve">https://community.clay.com/x/full-time-jobs/9is5k0h0y5pt/hiring-gtm-engineer-at-growth-today-for-remote-eu</t>
  </si>
  <si>
    <t xml:space="preserve">medium - Rendered post body confirms the role, the Europe / North America only line and a linked Notion application page. Age of the post is the main risk.</t>
  </si>
  <si>
    <t xml:space="preserve">Full Stack Developer</t>
  </si>
  <si>
    <t xml:space="preserve">Talent Sam</t>
  </si>
  <si>
    <t xml:space="preserve">Open to candidates from all countries.  |  Remote, worldwide</t>
  </si>
  <si>
    <t xml:space="preserve">Excellent verbal and written communication skills in English</t>
  </si>
  <si>
    <t xml:space="preserve">26 Jul 2026</t>
  </si>
  <si>
    <t xml:space="preserve">JavaScript, React, Node.js, PHP, REST APIs, PostgreSQL, MySQL, MongoDB, Git, CI/CD. Explicitly tagged mid-level, which fits his 3 years.</t>
  </si>
  <si>
    <t xml:space="preserve">Talent Sam is a staffing intermediary, so the end client and actual role are unspecified. The stack list is a catch-all that also includes Java, .NET and Python. No salary. Treat as a pipeline entry rather than a target.</t>
  </si>
  <si>
    <t xml:space="preserve">https://himalayas.app/companies/talent-sam/jobs/full-stack-developer</t>
  </si>
  <si>
    <t xml:space="preserve">medium - Himalayas rendered the exact title, company, mid-level tag, English requirement and an apply path.</t>
  </si>
  <si>
    <t xml:space="preserve">Product Engineer (m/f/d)</t>
  </si>
  <si>
    <t xml:space="preserve">Stackgini</t>
  </si>
  <si>
    <t xml:space="preserve">not stated  |  Berlin, Germany</t>
  </si>
  <si>
    <t xml:space="preserve">Fluent English. German is a real plus because many customer calls run in German.</t>
  </si>
  <si>
    <t xml:space="preserve">Asks 3 to 6 years full-stack, so his 3 years is at the floor. TypeScript with React and Next.js, PostgreSQL, Azure OpenAI, AWS Bedrock. The AI layer maps to his LLM API work.</t>
  </si>
  <si>
    <t xml:space="preserve">Kotlin with Spring Boot and Python are a real part of the stack and he has neither. German is a stated strong plus for customer calls, which narrows the field in practice.</t>
  </si>
  <si>
    <t xml:space="preserve">https://berlinstartupjobs.com/engineering/product-engineer-m-f-d-stackgini-gmbh/</t>
  </si>
  <si>
    <t xml:space="preserve">medium - berlinstartupjobs rendered the full posting including the verbatim language line and an apply link to join.com. The join.com page was not separately opened.</t>
  </si>
  <si>
    <t xml:space="preserve">AI Automations Product Engineer</t>
  </si>
  <si>
    <t xml:space="preserve">NineTwoThree AI Studio</t>
  </si>
  <si>
    <t xml:space="preserve">https://jobs.workable.com/view/k6iUWx4gVmgMJko3nWuvCY/remote-ai-automations-product-engineer-in-amsterdam-at-ninetwothree-ai-studio</t>
  </si>
  <si>
    <t xml:space="preserve">ShippyPro (LinkedIn listing)</t>
  </si>
  <si>
    <t xml:space="preserve">LinkedIn location field: Italy  |  Italy</t>
  </si>
  <si>
    <t xml:space="preserve">This is the LinkedIn route to the same ShippyPro role that is stuck behind the join.com sign-in wall. Applying here may bypass that blocker entirely, which makes it the single most actionable row added today.</t>
  </si>
  <si>
    <t xml:space="preserve">https://www.linkedin.com/jobs/view/4445848675/</t>
  </si>
  <si>
    <t xml:space="preserve">GenAI Engineer</t>
  </si>
  <si>
    <t xml:space="preserve">Avangarde Consulting</t>
  </si>
  <si>
    <t xml:space="preserve">Surfaced by a LinkedIn keyword search on n8n, automation and AI engineer, filtered to Italy and remote.</t>
  </si>
  <si>
    <t xml:space="preserve">https://www.linkedin.com/jobs/view/4440116826/</t>
  </si>
  <si>
    <t xml:space="preserve">TripleTen (Spain req)</t>
  </si>
  <si>
    <t xml:space="preserve">Spain only  |  Spain, remote</t>
  </si>
  <si>
    <t xml:space="preserve">HubSpot, Planhat, Make, Zapier, n8n, Workato, API support, business process design, SaaS management</t>
  </si>
  <si>
    <t xml:space="preserve">Spain residence required. Same role as the Portugal and Poland variants. No Spanish stated, but a Spain-based team may expect it informally.</t>
  </si>
  <si>
    <t xml:space="preserve">https://himalayas.app/companies/tripleten/jobs/crm-systems-automation-manager</t>
  </si>
  <si>
    <t xml:space="preserve">medium - Himalayas rendered title, Spain only, responsibilities and apply path.</t>
  </si>
  <si>
    <t xml:space="preserve">Technical Account Manager (second Spain req)</t>
  </si>
  <si>
    <t xml:space="preserve">Rithum</t>
  </si>
  <si>
    <t xml:space="preserve">This role requires that you currently reside and work from Spain.  |  Spain, remote</t>
  </si>
  <si>
    <t xml:space="preserve">28 Jul 2026 per aggregator</t>
  </si>
  <si>
    <t xml:space="preserve">Asks 2+ years, 3+ preferred. Excel, Microsoft Copilot, Salesforce, JIRA. Direct hit on his CRM automation and Copilot Studio certification.</t>
  </si>
  <si>
    <t xml:space="preserve">Must already reside in Spain. The form asks whether he requires immigration support now or in future. Working language not stated. Likely a sibling req to 8016946, so apply once.</t>
  </si>
  <si>
    <t xml:space="preserve">https://job-boards.greenhouse.io/rithumliboard/jobs/8092924</t>
  </si>
  <si>
    <t xml:space="preserve">high - Greenhouse URL renders ONE posting with title, Spain - Remote, full description and screening questions.</t>
  </si>
  <si>
    <t xml:space="preserve">Solutions Engineer, Service Provider - EMEA</t>
  </si>
  <si>
    <t xml:space="preserve">Kentik</t>
  </si>
  <si>
    <t xml:space="preserve">Must be located in EMEA region  |  Remote EMEA</t>
  </si>
  <si>
    <t xml:space="preserve">Fluent in English, with excellent written and verbal communication skills</t>
  </si>
  <si>
    <t xml:space="preserve">17 Jul 2026 per aggregator</t>
  </si>
  <si>
    <t xml:space="preserve">Pre-sales solutions engineering for a network observability API product. Overlaps on customer-facing discovery, POCs, REST APIs and webhooks.</t>
  </si>
  <si>
    <t xml:space="preserve">Asks 5+ years and real network engineering depth: Cisco and Juniper routers, Netflow, SNMP, BGP, DNS, TCP/IP, Linux servers. He has none of that. A stretch, not a natural fit.</t>
  </si>
  <si>
    <t xml:space="preserve">https://job-boards.greenhouse.io/kentik/jobs/4716196005</t>
  </si>
  <si>
    <t xml:space="preserve">high - The plain Greenhouse URL 302s to kentik.com. Verified instead via the Greenhouse job_app embed for token 4716196005, which rendered the single posting, the EMEA line and a live form.</t>
  </si>
  <si>
    <t xml:space="preserve">Technical Account Manager BAL</t>
  </si>
  <si>
    <t xml:space="preserve">RTB House</t>
  </si>
  <si>
    <t xml:space="preserve">Do you have the right to work in the location in which this role is based?  |  Poland, remote</t>
  </si>
  <si>
    <t xml:space="preserve">Fluent English (C1 level). No Polish requirement stated.</t>
  </si>
  <si>
    <t xml:space="preserve">About 2+ years in online technology, e-commerce or digital advertising, which matches his level. HTML, JavaScript, browser consoles and debugging, Google Tag Manager, GA4. Sits well against his JS, scraping and webhook work.</t>
  </si>
  <si>
    <t xml:space="preserve">Engagement is a B2B contract or contract of mandate, so a contractor arrangement in Poland rather than Italian employment. Adtech RTB domain is new to him.</t>
  </si>
  <si>
    <t xml:space="preserve">https://job-boards.greenhouse.io/rtbhouse/jobs/4913268101</t>
  </si>
  <si>
    <t xml:space="preserve">high - Greenhouse page rendered one posting, Location: Poland (remote), the contract-type line and a detailed apply form.</t>
  </si>
  <si>
    <t xml:space="preserve">Full Stack Developer (Node.js + React)</t>
  </si>
  <si>
    <t xml:space="preserve">Kiss My Apps</t>
  </si>
  <si>
    <t xml:space="preserve">Fully remote from anywhere in the free world, with optional access to the Kyiv or Warsaw offices  |  Fully remote worldwide, optional offices in Kyiv and Warsaw</t>
  </si>
  <si>
    <t xml:space="preserve">The posting body is written in Ukrainian, so Ukrainian is very likely expected day to day. Treat as a language blocker until confirmed.</t>
  </si>
  <si>
    <t xml:space="preserve">about 31 Jul 2026</t>
  </si>
  <si>
    <t xml:space="preserve">TypeScript, Node.js, NestJS, REST, JWT, PostgreSQL, React, Next.js, Docker, Redis. Asks a minimum of 2.5 years commercial experience, the best experience-bar match in this batch.</t>
  </si>
  <si>
    <t xml:space="preserve">Ukrainian-language posting. Drizzle ORM and BullMQ are unfamiliar. The apply path is an Ashby form that was not separately confirmed.</t>
  </si>
  <si>
    <t xml:space="preserve">https://euremotejobs.com/job/full-stack-developer-node-js-react-5/</t>
  </si>
  <si>
    <t xml:space="preserve">medium - euremotejobs rendered the exact title, company, the full Ukrainian description, the 2.5-year bar and an Ashby apply link.</t>
  </si>
  <si>
    <t xml:space="preserve">GTM Automation Engineer, Outbound Marketing</t>
  </si>
  <si>
    <t xml:space="preserve">Wing Assistant (Croatia req)</t>
  </si>
  <si>
    <t xml:space="preserve">Croatia only  |  Croatia, remote</t>
  </si>
  <si>
    <t xml:space="preserve">Ability to write clean, concise outbound copy in English</t>
  </si>
  <si>
    <t xml:space="preserve">USD 3,500 to 6,500 a month</t>
  </si>
  <si>
    <t xml:space="preserve">4 Jul 2026</t>
  </si>
  <si>
    <t xml:space="preserve">Clay, Apollo, Instantly, APIs, webhooks, JavaScript, web scraping, HubSpot, Salesforce, Pipedrive, Metabase, Retool</t>
  </si>
  <si>
    <t xml:space="preserve">Duplicate of the Poland req, apply to one country only. Same expert-Clay and deliverability depth expectations.</t>
  </si>
  <si>
    <t xml:space="preserve">https://himalayas.app/companies/wing-assistant/jobs/gtm-automation-engineer-outbound-marketing-2168134274</t>
  </si>
  <si>
    <t xml:space="preserve">medium - Himalayas rendered title, Croatia only, pay band and tool list.</t>
  </si>
  <si>
    <t xml:space="preserve">Product Manager, Billing Platform</t>
  </si>
  <si>
    <t xml:space="preserve">Undisclosed employer via Jobgether (billing PM req)</t>
  </si>
  <si>
    <t xml:space="preserve">Fluent written and spoken English communication skills</t>
  </si>
  <si>
    <t xml:space="preserve">USD 62,400 to 140,400 depending on location, experience, skills and market conditions</t>
  </si>
  <si>
    <t xml:space="preserve">Product management at a high-growth tech company plus required fluency with AI-powered development tools such as Cursor and Claude Code, a direct match to how he works.</t>
  </si>
  <si>
    <t xml:space="preserve">English fluency stated, no Italian mentioned, and a real salary band is published, which is rare in this set. But it requires prior PM experience specifically in billing, invoicing, payments or financial products, and he has none. Italy sits at the low end of the location-adjusted band. Employer hidden.</t>
  </si>
  <si>
    <t xml:space="preserve">https://jobs.lever.co/jobgether/e2a5be55-76e4-44f7-b7b6-2d6e54b14bed</t>
  </si>
  <si>
    <t xml:space="preserve">high - Rendered Lever page confirmed a single live posting with the exact title, Italy location, the salary band, the English line and an active apply option.</t>
  </si>
  <si>
    <t xml:space="preserve">Senior Typescript Engineer - come build AI agents with us</t>
  </si>
  <si>
    <t xml:space="preserve">Layers AI</t>
  </si>
  <si>
    <t xml:space="preserve">https://wellfound.com/jobs/4245997-senior-typescript-engineer-come-build-ai-agents-with-us-remote</t>
  </si>
  <si>
    <t xml:space="preserve">Forward-Deployed CRM Architect</t>
  </si>
  <si>
    <t xml:space="preserve">GTM Base</t>
  </si>
  <si>
    <t xml:space="preserve">https://join.com/companies/gtmbaseio/16345856-forward-deployed-crm-architect</t>
  </si>
  <si>
    <t xml:space="preserve">CRM and Data Operations Analyst</t>
  </si>
  <si>
    <t xml:space="preserve">Find.co</t>
  </si>
  <si>
    <t xml:space="preserve">19 Jul 2026, deadline 17 Sep 2026</t>
  </si>
  <si>
    <t xml:space="preserve">Zapier, Make or similar automation platforms, CRM administration, data operations, reporting and dashboards. Experience band 1 to 3 years fits him well.</t>
  </si>
  <si>
    <t xml:space="preserve">Asks for Salesforce Platform Administrator certification and Flow Builder, which he does not have. Worldwide eligibility means heavy competition.</t>
  </si>
  <si>
    <t xml:space="preserve">https://himalayas.app/companies/find-co/jobs/crm-data-operations-analyst</t>
  </si>
  <si>
    <t xml:space="preserve">medium - Himalayas rendered title, Open to candidates from all countries, the 1 to 3 years line, skills and apply path.</t>
  </si>
  <si>
    <t xml:space="preserve">Full-Stack Developer</t>
  </si>
  <si>
    <t xml:space="preserve">Kodify Media Group</t>
  </si>
  <si>
    <t xml:space="preserve">From wherever you want, the position is fully remote in the EU.  |  Fully remote within the EU, so Italy qualifies with no sponsorship</t>
  </si>
  <si>
    <t xml:space="preserve">29 May 2026</t>
  </si>
  <si>
    <t xml:space="preserve">React, Node.js, JavaScript, TypeScript, Docker, AWS, with Next.js, Express, Fastify, GraphQL and Redis as nice-to-haves. Asks minimum 3 years, matching his level.</t>
  </si>
  <si>
    <t xml:space="preserve">Oldest lead in this batch so it may have closed. MongoDB and NoSQL-first rather than his Postgres background. Kodify operates adult-entertainment media brands, which is a fit question rather than a skills question.</t>
  </si>
  <si>
    <t xml:space="preserve">https://himalayas.app/companies/kodify-media-group/jobs/full-stack-developer</t>
  </si>
  <si>
    <t xml:space="preserve">medium - Himalayas rendered the exact title, the fully remote in the EU sentence, the 3-year bar and an apply path. Kodify's own careers page could not be fetched.</t>
  </si>
  <si>
    <t xml:space="preserve">It's Prodigy</t>
  </si>
  <si>
    <t xml:space="preserve">Italy only  |  Italy</t>
  </si>
  <si>
    <t xml:space="preserve">not stated in the posting, which is written in English</t>
  </si>
  <si>
    <t xml:space="preserve">5 Jul 2026</t>
  </si>
  <si>
    <t xml:space="preserve">Node.js with Express and NestJS, React, Next.js, plus LLM and chatbot AI development. The AI-application angle lines up with his OpenAI and Anthropic work.</t>
  </si>
  <si>
    <t xml:space="preserve">Listed as contractor with no rate. Framed as senior. .NET, Java and Python also appear in the stack. An Italian consultancy, so client-facing work may surface an Italian requirement even though the posting does not state one.</t>
  </si>
  <si>
    <t xml:space="preserve">https://himalayas.app/companies/it-s-prodigy/jobs/full-stack-developer</t>
  </si>
  <si>
    <t xml:space="preserve">medium - Himalayas rendered the exact title, Italy only, contractor type and an apply path.</t>
  </si>
  <si>
    <t xml:space="preserve">Front-End WordPress Developer</t>
  </si>
  <si>
    <t xml:space="preserve">Yoko Co</t>
  </si>
  <si>
    <t xml:space="preserve">Anywhere in the World  |  Remote, worldwide</t>
  </si>
  <si>
    <t xml:space="preserve">about 25 Jul 2026</t>
  </si>
  <si>
    <t xml:space="preserve">HTML, CSS, JavaScript, React and component-based frameworks, Git and GitHub, translating Figma designs. Claude Code, Copilot and Codex are named in the posting.</t>
  </si>
  <si>
    <t xml:space="preserve">WordPress and Gutenberg block themes are the core of the job and he has no WordPress on his CV. Agency client work rather than product engineering. No salary stated.</t>
  </si>
  <si>
    <t xml:space="preserve">https://weworkremotely.com/remote-jobs/yoko-co-front-end-wordpress-developer</t>
  </si>
  <si>
    <t xml:space="preserve">medium - WeWorkRemotely rendered the exact title, company, Anywhere in the World and the apply URL. The Yoko Co careers page returned a permission error.</t>
  </si>
  <si>
    <t xml:space="preserve">Wing Assistant</t>
  </si>
  <si>
    <t xml:space="preserve">Clay at expert level, Apollo, Instantly, APIs and webhooks, JavaScript, web scraping and parsing, email verification</t>
  </si>
  <si>
    <t xml:space="preserve">Poland residence required. Pay well above his target means a higher bar. Wants expert Clay and DNS, DMARC, DKIM, SPF deliverability depth. Python listed too.</t>
  </si>
  <si>
    <t xml:space="preserve">https://himalayas.app/companies/wing-assistant/jobs/gtm-automation-engineer-outbound-marketing-3436928092</t>
  </si>
  <si>
    <t xml:space="preserve">medium - No first-party ATS link exists, Himalayas is the application path. Rendered page showed title, Poland only, pay band, tool list and apply route.</t>
  </si>
  <si>
    <t xml:space="preserve">Solutions Engineer, PreSales - Senior to Staff (EU)</t>
  </si>
  <si>
    <t xml:space="preserve">Sanity</t>
  </si>
  <si>
    <t xml:space="preserve">Remote in Europe  |  Remote in Europe</t>
  </si>
  <si>
    <t xml:space="preserve">Sanity is a headless CMS with a heavy React, Next.js and TypeScript ecosystem plus GROQ and REST APIs. His Next.js and React work is directly relevant.</t>
  </si>
  <si>
    <t xml:space="preserve">Explicitly senior to staff level, well above his 3 years. Pre-sales rather than support.</t>
  </si>
  <si>
    <t xml:space="preserve">https://jobs.ashbyhq.com/sanity/7bb0c4d3-10e9-4e97-91a0-cfd1d0fc980a</t>
  </si>
  <si>
    <t xml:space="preserve">low - Ashby body did not render. Title and the Remote in Europe location came from Sanity's Ashby job board feed.</t>
  </si>
  <si>
    <t xml:space="preserve">Senior Software Engineer</t>
  </si>
  <si>
    <t xml:space="preserve">Stellar AI</t>
  </si>
  <si>
    <t xml:space="preserve">https://weworkremotely.com/remote-jobs/stellar-ai-senior-software-engineer</t>
  </si>
  <si>
    <t xml:space="preserve">https://lleverage.recruitee.com/o/lleverage-tem-4</t>
  </si>
  <si>
    <t xml:space="preserve">MC Engineering</t>
  </si>
  <si>
    <t xml:space="preserve">Location field is Italy with a remote filter applied, so this may be remote-from-Venice.</t>
  </si>
  <si>
    <t xml:space="preserve">https://www.linkedin.com/jobs/view/4416402281/</t>
  </si>
  <si>
    <t xml:space="preserve">Applied AI Engineer</t>
  </si>
  <si>
    <t xml:space="preserve">Azienda Anonima (undisclosed employer)</t>
  </si>
  <si>
    <t xml:space="preserve">Employer is undisclosed on the listing.</t>
  </si>
  <si>
    <t xml:space="preserve">https://www.linkedin.com/jobs/view/4447533037/</t>
  </si>
  <si>
    <t xml:space="preserve">Fullstack AI Engineer</t>
  </si>
  <si>
    <t xml:space="preserve">Azienda Anonima (undisclosed, fullstack req)</t>
  </si>
  <si>
    <t xml:space="preserve">Employer undisclosed. Fullstack plus AI is his exact shape.</t>
  </si>
  <si>
    <t xml:space="preserve">https://www.linkedin.com/jobs/view/4447529645/</t>
  </si>
  <si>
    <t xml:space="preserve">BIP, Business Integration Partners</t>
  </si>
  <si>
    <t xml:space="preserve">Indeed location field: Remote in Rome, Latium, Italy  |  Remote in Rome, Latium, Italy</t>
  </si>
  <si>
    <t xml:space="preserve">posted within the last 14 days</t>
  </si>
  <si>
    <t xml:space="preserve">Junior banding AND remote-in-Italy, which is the rarest combination in the Italian market. BIP is a large Italian consultancy.</t>
  </si>
  <si>
    <t xml:space="preserve">Not individually opened. Indeed apply flows generally need him rather than automation.</t>
  </si>
  <si>
    <t xml:space="preserve">https://it.indeed.com/viewjob?jk=501ee57f9d773ce8</t>
  </si>
  <si>
    <t xml:space="preserve">medium - Indeed Italy search listing, confirmed present and dated in a real browser on 6 Aug 2026. The posting body was NOT opened individually, so eligibility, language and pay are unverified.</t>
  </si>
  <si>
    <t xml:space="preserve">Junior AI Engineer, Google</t>
  </si>
  <si>
    <t xml:space="preserve">BIP, Business Integration Partners (Google practice)</t>
  </si>
  <si>
    <t xml:space="preserve">Indeed location field: Remote in Milan, Lombardy, Italy  |  Remote in Milan, Lombardy, Italy</t>
  </si>
  <si>
    <t xml:space="preserve">Junior, remote-in-Italy, and scoped to the Google Cloud practice.</t>
  </si>
  <si>
    <t xml:space="preserve">https://it.indeed.com/viewjob?jk=207dec180923643c</t>
  </si>
  <si>
    <t xml:space="preserve">SR AUTOMATION ENGINEER</t>
  </si>
  <si>
    <t xml:space="preserve">Reverse (automation req)</t>
  </si>
  <si>
    <t xml:space="preserve">Indeed location field: Remote in Lombardy, Italy  |  Remote in Lombardy, Italy</t>
  </si>
  <si>
    <t xml:space="preserve">Remote within Lombardy. Note Reverse is the same recruiter behind the Italian-language Deployment Strategist role already logged as a language loss, so ask about working language in the first message.</t>
  </si>
  <si>
    <t xml:space="preserve">https://it.indeed.com/viewjob?jk=f6b0bd5b9d306e34</t>
  </si>
  <si>
    <t xml:space="preserve">JUNIOR AUTOMATION ENGINEER</t>
  </si>
  <si>
    <t xml:space="preserve">Umana S.p.A.</t>
  </si>
  <si>
    <t xml:space="preserve">Indeed location field: Italy  |  Italy</t>
  </si>
  <si>
    <t xml:space="preserve">Junior banding. Umana is a staffing agency so the end employer is unnamed.</t>
  </si>
  <si>
    <t xml:space="preserve">https://it.indeed.com/viewjob?jk=b267bab964b6de1c</t>
  </si>
  <si>
    <t xml:space="preserve">Quadrivia (reposted)</t>
  </si>
  <si>
    <t xml:space="preserve">AI Automation Engineer (Remote - ES/UK only)  |  Remote, Spain or UK only</t>
  </si>
  <si>
    <t xml:space="preserve">Spanish listed under Nice to Have for internal team collaboration</t>
  </si>
  <si>
    <t xml:space="preserve">Python, REST and webhook integrations, MCP, Claude Skills, agent and workflow orchestration on an internal AI platform called Cortex</t>
  </si>
  <si>
    <t xml:space="preserve">NOTE THE HISTORY: this URL returned Job not found in a browser during the 5 Aug sweep and was logged as closed. It now renders a full body, so it has been reposted. Only the Spain leg is usable, the UK leg needs sponsorship. Build language is Python and MCP rather than n8n.</t>
  </si>
  <si>
    <t xml:space="preserve">https://jobs.ashbyhq.com/quadrivia/ef77b530-b481-4a32-a6d6-b0469a5419f2</t>
  </si>
  <si>
    <t xml:space="preserve">high - Ashby page returned rendered body text: responsibilities, Nice to Have section and full stack read off the page. Previously dead at the same URL, so it has been reposted.</t>
  </si>
  <si>
    <t xml:space="preserve">Senior AI Solutions Engineer</t>
  </si>
  <si>
    <t xml:space="preserve">OLX</t>
  </si>
  <si>
    <t xml:space="preserve">not stated  |  Remote Poland</t>
  </si>
  <si>
    <t xml:space="preserve">Excellent communication skills in English, both written and verbal.</t>
  </si>
  <si>
    <t xml:space="preserve">n8n, Make, Zapier, Python, JavaScript, Anthropic API, OpenAI API, Google Gemini and Vertex AI, Jira, Confluence, Slack, Google Workspace, SAP, Coupa</t>
  </si>
  <si>
    <t xml:space="preserve">One of the closest tool matches found anywhere: n8n plus Make plus Zapier plus both Anthropic and OpenAI APIs, remote within Poland. Senior title against 3 years. It did NOT appear when the OLX Lever board index was enumerated, so it may be close to closing.</t>
  </si>
  <si>
    <t xml:space="preserve">https://jobs.eu.lever.co/olx/e0e18bb2-2cd8-473c-b804-b4849bda1f88</t>
  </si>
  <si>
    <t xml:space="preserve">high - Rendered body showed the title, the Remote Poland location, the full requirement list and two apply buttons.</t>
  </si>
  <si>
    <t xml:space="preserve">Embedded AI Engineer (IR-540)</t>
  </si>
  <si>
    <t xml:space="preserve">Intellectsoft</t>
  </si>
  <si>
    <t xml:space="preserve">Argentina, Brazil, Colombia, Poland, Portugal, Spain  |  Remote, the EU slice is Poland, Portugal and Spain</t>
  </si>
  <si>
    <t xml:space="preserve">2 Aug 2026</t>
  </si>
  <si>
    <t xml:space="preserve">Deep specialisation in the Claude and Anthropic ecosystem, multi-agent architectures, prompt engineering, LLM orchestration, workflow design and business-process mapping. Very close to what he actually does.</t>
  </si>
  <si>
    <t xml:space="preserve">Italy is not in the country list, so he would need residence in Poland, Portugal or Spain. Tagged senior. Intellectsoft is an outsourcing agency, so the end client is unnamed.</t>
  </si>
  <si>
    <t xml:space="preserve">https://euremotejobs.com/job/embedded-ai-engineer-ir-540/</t>
  </si>
  <si>
    <t xml:space="preserve">medium - Rendered euremotejobs body shows title, company, the six-country line, the stack and an Active status, with the Workable apply link. The Workable page itself is JavaScript-only.</t>
  </si>
  <si>
    <t xml:space="preserve">Automation Developer (Power Platform, Copilot Studio)</t>
  </si>
  <si>
    <t xml:space="preserve">Wanstor</t>
  </si>
  <si>
    <t xml:space="preserve">AU, CA + 8 more (Australia, Canada, France, Germany, India, Ireland, Netherlands, Spain, United Kingdom, United States)  |  Remote, multi-country</t>
  </si>
  <si>
    <t xml:space="preserve">14 Jul 2026, deadline 12 Sep 2026</t>
  </si>
  <si>
    <t xml:space="preserve">Microsoft Copilot Studio and Power Automate, both of which he is certified in, plus Power Platform, Microsoft 365, APIs, custom connectors, SharePoint, Teams</t>
  </si>
  <si>
    <t xml:space="preserve">France, Germany, Netherlands and Spain are the clean EU options. Ireland is a sponsorship route, UK and US unusable. Wanstor is a London MSP so the centre of gravity is UK. Dataverse, DLP and ALM depth asked.</t>
  </si>
  <si>
    <t xml:space="preserve">https://himalayas.app/companies/wanstor/jobs/automation-developer-power-platform-copilot-studio</t>
  </si>
  <si>
    <t xml:space="preserve">medium - Himalayas rendered title, the expanded eligible-country list, skills and apply path.</t>
  </si>
  <si>
    <t xml:space="preserve">Staff IT Engineer for Automation and AI Transformation</t>
  </si>
  <si>
    <t xml:space="preserve">SoSafe</t>
  </si>
  <si>
    <t xml:space="preserve">Europe  |  Remote Europe, EMEA time zones. A Himalayas mirror lists Ireland and Portugal, so confirm the country list.</t>
  </si>
  <si>
    <t xml:space="preserve">about 16 Jul 2026</t>
  </si>
  <si>
    <t xml:space="preserve">n8n, Zapier, workflow orchestration, agentic AI, GitHub Actions</t>
  </si>
  <si>
    <t xml:space="preserve">Staff or Principal level is the biggest seniority stretch here. Infrastructure-as-code, CI/CD and SRE background asked for. If the country list is really Ireland-based that is a sponsorship application.</t>
  </si>
  <si>
    <t xml:space="preserve">https://euremotejobs.com/job/staff-it-engineer-for-automation-ai-transformation-remote/</t>
  </si>
  <si>
    <t xml:space="preserve">medium - euremotejobs rendered the title, Europe location, the full requirements body and an Ashby apply URL. The Ashby page itself was not confirmed.</t>
  </si>
  <si>
    <t xml:space="preserve">Full Stack Laravel / React Developer</t>
  </si>
  <si>
    <t xml:space="preserve">Gorin Systems</t>
  </si>
  <si>
    <t xml:space="preserve">Fluent English, written and verbal</t>
  </si>
  <si>
    <t xml:space="preserve">6 Aug 2026</t>
  </si>
  <si>
    <t xml:space="preserve">Laravel, PHP, React, JavaScript, CSS, MySQL, Git. Asks 3 years minimum, exactly his level, and the closest single match to his FlowSpace Laravel plus React work.</t>
  </si>
  <si>
    <t xml:space="preserve">Listed as Part Time, so it will not clear a full-time target on its own. No rate stated. Small unknown employer, so verify contract and payment terms.</t>
  </si>
  <si>
    <t xml:space="preserve">https://himalayas.app/companies/gorin-systems/jobs/full-stack-laravel-react-developer-9044192559</t>
  </si>
  <si>
    <t xml:space="preserve">medium - Himalayas rendered the exact title, 3-year bar, Laravel and React requirements and an apply path on the day it went up.</t>
  </si>
  <si>
    <t xml:space="preserve">Autopilot</t>
  </si>
  <si>
    <t xml:space="preserve">USD 60,000 to 140,000 a year</t>
  </si>
  <si>
    <t xml:space="preserve">24 Jun 2026</t>
  </si>
  <si>
    <t xml:space="preserve">Node.js, React, TypeScript, PostgreSQL, tRPC, OpenAPI, API design. Product-engineer framing matches how he actually works.</t>
  </si>
  <si>
    <t xml:space="preserve">Asks 5 years minimum versus his 3. Very wide salary band with no location adjustment stated. Observability expectations lean into ops depth he lacks.</t>
  </si>
  <si>
    <t xml:space="preserve">https://himalayas.app/companies/autopilot-is/jobs/product-engineer</t>
  </si>
  <si>
    <t xml:space="preserve">medium - Himalayas rendered the exact title, company, salary band, 5-year bar and an apply path.</t>
  </si>
  <si>
    <t xml:space="preserve">Full Stack Developer (AI-First)</t>
  </si>
  <si>
    <t xml:space="preserve">Full Circle</t>
  </si>
  <si>
    <t xml:space="preserve">Open to candidates from all countries.  |  Remote worldwide, but the posting says Remote, CST</t>
  </si>
  <si>
    <t xml:space="preserve">Competitive salary based on experience</t>
  </si>
  <si>
    <t xml:space="preserve">14 Jun 2026, deadline 13 Aug 2026</t>
  </si>
  <si>
    <t xml:space="preserve">React, Next.js, TypeScript, Node.js, APIs, databases, plus Claude Code, OpenAI, Anthropic and Gemini APIs and RAG. Mid-level framing and the strongest AI-tooling overlap in this batch.</t>
  </si>
  <si>
    <t xml:space="preserve">Remote, CST means US Central hours from Italy. Python appears in the stack. Closes 13 Aug, so about a week away. No numeric salary.</t>
  </si>
  <si>
    <t xml:space="preserve">https://himalayas.app/companies/full-circle/jobs/full-stack-developer-ai-first-2901065681</t>
  </si>
  <si>
    <t xml:space="preserve">medium - Himalayas rendered the exact title, company, mid-level tag, AI stack and an apply path.</t>
  </si>
  <si>
    <t xml:space="preserve">GTM Engineer - Founding Partner (m/f/x)</t>
  </si>
  <si>
    <t xml:space="preserve">Oryn Group</t>
  </si>
  <si>
    <t xml:space="preserve">Remote (Germany)  |  Germany, remote</t>
  </si>
  <si>
    <t xml:space="preserve">28 Apr 2026</t>
  </si>
  <si>
    <t xml:space="preserve">Clay, Apollo, HubSpot at tool depth, Python, JavaScript, outbound systems and pipeline logic</t>
  </si>
  <si>
    <t xml:space="preserve">Framed as a co-founding partnership, so may be equity-weighted or below his floor. Agency delivery for multiple clients. join.com sign-in wall.</t>
  </si>
  <si>
    <t xml:space="preserve">https://join.com/companies/oryn-groupcom/16512536-gtm-engineer-founding-partner-m-f-x</t>
  </si>
  <si>
    <t xml:space="preserve">high - Rendered join.com body showed title, Remote (Germany), tool requirements and Apply now.</t>
  </si>
  <si>
    <t xml:space="preserve">Technical Support Analyst</t>
  </si>
  <si>
    <t xml:space="preserve">Undisclosed employer via Jobgether (support req)</t>
  </si>
  <si>
    <t xml:space="preserve">not stated, only Excellent written and verbal communication skills</t>
  </si>
  <si>
    <t xml:space="preserve">not stated, competitive compensation package with performance bonus</t>
  </si>
  <si>
    <t xml:space="preserve">API troubleshooting and integration support, application log analysis, SQL and lightweight automation tooling. His integration, CRM-automation and parsing work maps well and the 3-year bar matches exactly.</t>
  </si>
  <si>
    <t xml:space="preserve">Requires minimum 3 years technical support experience specifically, ideally fintech, payments or SaaS, and his experience is engineering rather than support-desk. Employer hidden.</t>
  </si>
  <si>
    <t xml:space="preserve">https://jobs.lever.co/jobgether/89509e99-290d-446f-87a7-39c3a67a4a58</t>
  </si>
  <si>
    <t xml:space="preserve">high - Rendered Lever page confirmed a single live posting titled Technical Support Analyst, location Italy, full-time remote, with an active apply option.</t>
  </si>
  <si>
    <t xml:space="preserve">Customer Success Manager (Individual Contributor)</t>
  </si>
  <si>
    <t xml:space="preserve">Undisclosed employer via Jobgether (CSM req)</t>
  </si>
  <si>
    <t xml:space="preserve">3+ years of experience in Customer Success, Account Management, client operations, or a similar customer-facing role  |  Italy, remote</t>
  </si>
  <si>
    <t xml:space="preserve">CRM platforms including HubSpot. His CRM automation and lead enrichment pipelines plus product ownership give a credible technical-CSM angle, and the 3+ years bar matches exactly.</t>
  </si>
  <si>
    <t xml:space="preserve">No Italian requirement stated, but a remote-Italy CSM seat often implies covering Italian-speaking accounts even when not written, so probe this on the first call. Not an engineering role, so a sideways move. Employer hidden.</t>
  </si>
  <si>
    <t xml:space="preserve">https://jobs.lever.co/jobgether/604e42de-5233-4d20-b7a6-6823f0d6b56d</t>
  </si>
  <si>
    <t xml:space="preserve">high - Rendered Lever page confirmed a single live posting with the exact title, Italy location, the 3+ years line and an active apply option.</t>
  </si>
  <si>
    <t xml:space="preserve">(Senior) AI Platform Engineer (m/f/d)</t>
  </si>
  <si>
    <t xml:space="preserve">Chrono24</t>
  </si>
  <si>
    <t xml:space="preserve">Very good English skills; German proficiency is a plus  |  Remote within Germany</t>
  </si>
  <si>
    <t xml:space="preserve">English stated, German only a plus</t>
  </si>
  <si>
    <t xml:space="preserve">Explicitly language and stack agnostic, weighted to hands-on AI use inside a non-software business (luxury watch marketplace). His LLM API work, agentic workflow design and TypeScript would map onto the internal AI platform remit.</t>
  </si>
  <si>
    <t xml:space="preserve">Seniority is the problem: the posting says roughly eight to ten years of development experience is a useful reference. At 3 years he is well under that. Remote is Germany-based, so confirm whether an Italy-resident hire is acceptable.</t>
  </si>
  <si>
    <t xml:space="preserve">https://chrono24.jobs.personio.de/job/2717899?language=en</t>
  </si>
  <si>
    <t xml:space="preserve">high - Rendered body confirmed title, Remote-DE location, Full-time Permanent employee, posted date and an Apply for this job button.</t>
  </si>
  <si>
    <t xml:space="preserve">AI No-Code/Low-Code Developer</t>
  </si>
  <si>
    <t xml:space="preserve">Freedom24 (Freedom Finance Europe)</t>
  </si>
  <si>
    <t xml:space="preserve">not stated  |  Remote, advertised for Estonia, Serbia, Montenegro</t>
  </si>
  <si>
    <t xml:space="preserve">Working proficiency in English required. Native Russian listed as nice to have.</t>
  </si>
  <si>
    <t xml:space="preserve">about 1 Aug 2026</t>
  </si>
  <si>
    <t xml:space="preserve">Make, n8n, Zapier, Claude Code or Codex</t>
  </si>
  <si>
    <t xml:space="preserve">One of the closest stack matches found, but some advertised countries are non-EU, so confirm the Cyprus-regulated EU entity can contract him in Italy. A Russian-speaking team is an implicit culture filter. Also note apply.workable.com is unreachable for this session's browser but opens in his.</t>
  </si>
  <si>
    <t xml:space="preserve">https://apply.workable.com/freedomfinanceeu/j/348556E7E4</t>
  </si>
  <si>
    <t xml:space="preserve">medium - Title, stack, language lines, employment type and posted date confirmed from a rendered aggregator listing carrying this exact Workable apply URL. The Workable page itself is client-rendered and returned only metadata.</t>
  </si>
  <si>
    <t xml:space="preserve">Automation and Tech Specialist (m/w/d)</t>
  </si>
  <si>
    <t xml:space="preserve">Lippe Personal GmbH</t>
  </si>
  <si>
    <t xml:space="preserve">Germany only  |  Dusseldorf, Germany, on site with some flexibility</t>
  </si>
  <si>
    <t xml:space="preserve">not stated, but the (m/w/d) title and a DACH client base point to German being expected in practice</t>
  </si>
  <si>
    <t xml:space="preserve">EUR 48,000 to 58,000 a year</t>
  </si>
  <si>
    <t xml:space="preserve">13 Jul 2026</t>
  </si>
  <si>
    <t xml:space="preserve">Zapier, Make, n8n, CRM systems, Google Sheets, email automation tooling, AI tools</t>
  </si>
  <si>
    <t xml:space="preserve">Closest tool-for-tool match to his n8n and Make depth of anything in its lane, and the pay is above his band. But it needs a move to Dusseldorf and German is a real risk. A recruiting services business rather than a SaaS product.</t>
  </si>
  <si>
    <t xml:space="preserve">https://himalayas.app/companies/lippe-personal-gmbh/jobs/automation-tech-specialist-m-w-d</t>
  </si>
  <si>
    <t xml:space="preserve">medium - Himalayas rendered the body with the salary, the Germany-only location line and the full tool list. The company's own posting could not be located.</t>
  </si>
  <si>
    <t xml:space="preserve">AI Engineer (gn)</t>
  </si>
  <si>
    <t xml:space="preserve">The Quality Group</t>
  </si>
  <si>
    <t xml:space="preserve">Due to organizational and regulatory requirements, residency in Germany is required for this position.  |  Germany, remote within Germany</t>
  </si>
  <si>
    <t xml:space="preserve">No language requirement stated in the body, but the title carries the German (gn) marker and the location line reads Deutschland, remote.</t>
  </si>
  <si>
    <t xml:space="preserve">not stated, the form asks salary expectations</t>
  </si>
  <si>
    <t xml:space="preserve">n8n named outright, plus Claude Enterprise, ChatGPT Enterprise, embeddings, vector search, reranking. Mid to Senior band with no years figure demanded.</t>
  </si>
  <si>
    <t xml:space="preserve">German residency is a hard gate, so this needs a move. Python is named. No stated pay.</t>
  </si>
  <si>
    <t xml:space="preserve">https://job-boards.greenhouse.io/thequalitygroupgmbh2/jobs/4931097101</t>
  </si>
  <si>
    <t xml:space="preserve">high - Rendered Greenhouse body shows one posting, quotes the residency sentence verbatim and carries a full application form.</t>
  </si>
  <si>
    <t xml:space="preserve">Ex Technical Founder (Product Engineer)</t>
  </si>
  <si>
    <t xml:space="preserve">Cogram</t>
  </si>
  <si>
    <t xml:space="preserve">Berlin, BE, DE / Remote  |  Remote, CET plus or minus 3 hours, so Venice qualifies</t>
  </si>
  <si>
    <t xml:space="preserve">EUR 70K to 130K plus 0.10% to 0.50% equity</t>
  </si>
  <si>
    <t xml:space="preserve">React, TypeScript, Postgres, product-owning generalist framing. Asks 3+ years, which is his number. The posting states US citizenship and visa are not required.</t>
  </si>
  <si>
    <t xml:space="preserve">Python with FastAPI is the backend, and Terraform and Kubernetes on AWS and Azure are named. The framing wants a former technical founder. B2B SaaS for architecture, engineering and construction.</t>
  </si>
  <si>
    <t xml:space="preserve">https://www.ycombinator.com/companies/cogram/jobs/LDTrViN-ex-technical-founder-product-engineer</t>
  </si>
  <si>
    <t xml:space="preserve">high - Rendered YC job page shows the single posting, salary band, 3+ years, stack and a live apply path.</t>
  </si>
  <si>
    <t xml:space="preserve">Full Stack Software Engineer (TypeScript/React)</t>
  </si>
  <si>
    <t xml:space="preserve">OneImaging</t>
  </si>
  <si>
    <t xml:space="preserve">AR, AU + 34 more, and the country list includes Italy, France, Germany, Netherlands, Spain, Poland and Romania  |  Remote, multi-country including Italy</t>
  </si>
  <si>
    <t xml:space="preserve">USD 120,000 to 180,000 a year</t>
  </si>
  <si>
    <t xml:space="preserve">TypeScript, JavaScript, React, Next.js, Node.js, Express, PostgreSQL, REST APIs, Docker, Jest, Cypress. Very close to his day-to-day stack.</t>
  </si>
  <si>
    <t xml:space="preserve">Asks 4+ years, or 6+ without a degree, and he has 3 years and no CS degree. MongoDB also in the stack. US healthcare company so expect US-hours overlap, and the pay band is US-market.</t>
  </si>
  <si>
    <t xml:space="preserve">https://himalayas.app/companies/oneimaging/jobs/full-stack-software-engineer-typescript-react</t>
  </si>
  <si>
    <t xml:space="preserve">medium - Himalayas rendered the exact title, salary band, experience bar and an apply path.</t>
  </si>
  <si>
    <t xml:space="preserve">Technical Product Manager (AI Services team)</t>
  </si>
  <si>
    <t xml:space="preserve">Tiugo Technologies</t>
  </si>
  <si>
    <t xml:space="preserve">https://tiugotech.recruitee.com/o/technical-product-manager-ai-services-team</t>
  </si>
  <si>
    <t xml:space="preserve">Solutions Engineer</t>
  </si>
  <si>
    <t xml:space="preserve">Sana Labs</t>
  </si>
  <si>
    <t xml:space="preserve">Stockholm (with access to NYC and London offices)  |  Sweden, Stockholm</t>
  </si>
  <si>
    <t xml:space="preserve">not stated, competitive base plus a transparent options program</t>
  </si>
  <si>
    <t xml:space="preserve">Forward-deployed work on state-of-the-art LLMs and AI agents. Client-facing technical delivery on top of LLM products.</t>
  </si>
  <si>
    <t xml:space="preserve">Stockholm-based, so relocation. No years figure and no specific stack published, so the bar is unreadable from the posting. Apply path is a Typeform, not an ATS.</t>
  </si>
  <si>
    <t xml:space="preserve">https://sanalabs.com/careers/solutions-engineer</t>
  </si>
  <si>
    <t xml:space="preserve">high - Rendered company careers page shows the single role, the Stockholm line and a live Apply now link.</t>
  </si>
  <si>
    <t xml:space="preserve">Junior AI Engineer (1 year temp)</t>
  </si>
  <si>
    <t xml:space="preserve">Entrust</t>
  </si>
  <si>
    <t xml:space="preserve">Barcelona, Spain  |  Spain, Barcelona, 3 days onsite</t>
  </si>
  <si>
    <t xml:space="preserve">No Spanish requirement stated</t>
  </si>
  <si>
    <t xml:space="preserve">Anthropic SDK, Claude Code, GitHub Copilot, AI agent frameworks, Docker, Git. Two headcount open.</t>
  </si>
  <si>
    <t xml:space="preserve">Junior and recent-graduate framing sits below his 3 years. Python and/or Go is the language requirement and neither is his. Fixed one-year term. Barcelona hybrid means relocating.</t>
  </si>
  <si>
    <t xml:space="preserve">https://startup.jobs/junior-ai-engineer-1-year-temp-entrust-8905447</t>
  </si>
  <si>
    <t xml:space="preserve">medium - Rendered startup.jobs body shows the title, Barcelona location, 1-year term, stack and posted date. The employer's own posting URL was not exposed.</t>
  </si>
  <si>
    <t xml:space="preserve">Automation Specialist (Make.com, Notion, Ad Operations)</t>
  </si>
  <si>
    <t xml:space="preserve">KultreMedia</t>
  </si>
  <si>
    <t xml:space="preserve">Australia, Canada, Denmark, Finland, Germany, Ireland, Netherlands, New Zealand, Norway, Sweden, United Kingdom, United States  |  Remote, multi-country</t>
  </si>
  <si>
    <t xml:space="preserve">not stated, monthly retainer or project-based</t>
  </si>
  <si>
    <t xml:space="preserve">21 Jun 2026, deadline 20 Aug 2026</t>
  </si>
  <si>
    <t xml:space="preserve">Make.com, Zapier, Airtable, Notion, ClickUp, Slack, Google Workspace, workflow automation, client onboarding</t>
  </si>
  <si>
    <t xml:space="preserve">Germany, Netherlands, Finland and Sweden are the clean EU options. Denmark and Ireland are sponsorship routes. Retainer basis so no salary security. Ad operations is outside his experience. Closes 20 Aug.</t>
  </si>
  <si>
    <t xml:space="preserve">https://himalayas.app/companies/kultremedia-llc/jobs/km-automation-specialist-make-com-notion-ad-operations</t>
  </si>
  <si>
    <t xml:space="preserve">medium - Himalayas rendered title, the full eligible-country list, the 2+ years requirement, skills and apply path.</t>
  </si>
  <si>
    <t xml:space="preserve">AI Operator</t>
  </si>
  <si>
    <t xml:space="preserve">saas.group</t>
  </si>
  <si>
    <t xml:space="preserve">Australia, Canada, Germany, India, United Kingdom, United States  |  Remote, Germany is the EU-eligible entry</t>
  </si>
  <si>
    <t xml:space="preserve">Fluent English is a must</t>
  </si>
  <si>
    <t xml:space="preserve">n8n, Claude, MCP, agent development, workflow design, automation, process mapping, prompt engineering, AI orchestration</t>
  </si>
  <si>
    <t xml:space="preserve">Germany is the only usable country. Asks 4+ years against his 3. Heavy change-management and internal-coaching component across portfolio brands. Git and terminal fluency expected.</t>
  </si>
  <si>
    <t xml:space="preserve">https://himalayas.app/companies/saas-group/jobs/ai-operator</t>
  </si>
  <si>
    <t xml:space="preserve">medium - Himalayas rendered title, eligible countries, skills, English requirement, deadline and apply path.</t>
  </si>
  <si>
    <t xml:space="preserve">Technical Account Manager</t>
  </si>
  <si>
    <t xml:space="preserve">This role requires that you currently reside and work from Spain. Do you meet this location requirement?  |  Spain, remote</t>
  </si>
  <si>
    <t xml:space="preserve">not stated, no local-language requirement found</t>
  </si>
  <si>
    <t xml:space="preserve">18 Jun 2026 per aggregator</t>
  </si>
  <si>
    <t xml:space="preserve">Asks 2+ years technical account management, implementation or solutions engineering in B2B SaaS. E-commerce marketplace integrations. Explicitly asks for AI-driven tools including Microsoft Copilot, which he is certified in. Salesforce and JIRA workflow tracking.</t>
  </si>
  <si>
    <t xml:space="preserve">E-commerce marketplace channel knowledge is the core of the job, not API engineering. He must already reside in Spain. The form also asks whether he is legally authorised to work in Spain.</t>
  </si>
  <si>
    <t xml:space="preserve">https://job-boards.greenhouse.io/rithumliboard/jobs/8016946</t>
  </si>
  <si>
    <t xml:space="preserve">high - Greenhouse page rendered a single posting, Spain - Remote, with a full apply form and both screening questions.</t>
  </si>
  <si>
    <t xml:space="preserve">Laravel</t>
  </si>
  <si>
    <t xml:space="preserve">not stated  |  Remote. An aggregator lists eligible countries as Denmark, United Kingdom, +4 more.</t>
  </si>
  <si>
    <t xml:space="preserve">15 Jul 2026 per aggregator</t>
  </si>
  <si>
    <t xml:space="preserve">Best direct stack match on the list: he already ships Laravel and PHP and led a Bubble.io to Next.js and Laravel migration. Technical sales for Laravel Cloud, discovery with CTOs, solution design, guiding customers to production.</t>
  </si>
  <si>
    <t xml:space="preserve">AWS and cloud architecture knowledge expected, which is thinner for him. The listed countries include Denmark and the UK, both unusable, so he must confirm which of the other four are open and whether Italy is one.</t>
  </si>
  <si>
    <t xml:space="preserve">https://apply.workable.com/laravel/j/E2EEEA7303</t>
  </si>
  <si>
    <t xml:space="preserve">medium - Workable renders client-side. Only the document title resolved, confirming a single live requisition at this URL.</t>
  </si>
  <si>
    <t xml:space="preserve">Freelancer GTM Engineer / AI Automation Specialist (n8n and Clay)</t>
  </si>
  <si>
    <t xml:space="preserve">Sophie.camp</t>
  </si>
  <si>
    <t xml:space="preserve">Germany only  |  Germany</t>
  </si>
  <si>
    <t xml:space="preserve">Not listed as a requirement, but parts of the posting body are in German</t>
  </si>
  <si>
    <t xml:space="preserve">EUR 10,000 fixed for the project setup, June to Nov 2026, plus EUR 1,000 to 5,000 for tools, ads and API costs</t>
  </si>
  <si>
    <t xml:space="preserve">n8n, Clay, Claude, GPT, Pingen API, CRM integration, data governance. Closest tool match in the batch to his n8n depth.</t>
  </si>
  <si>
    <t xml:space="preserve">Project window already mid-flight. A fixed EUR 10,000 over six months is below EUR 200/day. German body text suggests working German in practice.</t>
  </si>
  <si>
    <t xml:space="preserve">https://himalayas.app/companies/sophie-camp/jobs/freelancer-gtm-engineer-ai-automation-specialist-n8n-clay</t>
  </si>
  <si>
    <t xml:space="preserve">medium - Himalayas rendered title, Germany only, the German-language fee structure and the tool list.</t>
  </si>
  <si>
    <t xml:space="preserve">Enterprise Solutions Engineer, Italy</t>
  </si>
  <si>
    <t xml:space="preserve">Postman</t>
  </si>
  <si>
    <t xml:space="preserve">Remote, Italy  |  Remote, Italy</t>
  </si>
  <si>
    <t xml:space="preserve">English. Italian not stated as a requirement.</t>
  </si>
  <si>
    <t xml:space="preserve">API design and integration, the Postman platform, JavaScript, REST work, technical demos and documentation. He uses Postman-style API workflows daily.</t>
  </si>
  <si>
    <t xml:space="preserve">Asks 8+ years enterprise sales or solutions engineering, 4+ years software development and 4+ years APIs and data platforms. Far beyond his 3 years. Pre-sales rather than support. The best eligibility fit anywhere in this sweep but the weakest seniority fit.</t>
  </si>
  <si>
    <t xml:space="preserve">https://job-boards.greenhouse.io/postman/jobs/7528350003</t>
  </si>
  <si>
    <t xml:space="preserve">high - Greenhouse rendered a single posting titled Enterprise Solutions Engineer, Italy, location Remote, Italy, with a full application form. Confirmed independently by two separate lanes.</t>
  </si>
  <si>
    <t xml:space="preserve">Technical Customer Support Specialist</t>
  </si>
  <si>
    <t xml:space="preserve">Qase</t>
  </si>
  <si>
    <t xml:space="preserve">Anywhere in the World  |  Fully remote worldwide, no geographic restriction stated</t>
  </si>
  <si>
    <t xml:space="preserve">C1-level written and spoken English proficiency</t>
  </si>
  <si>
    <t xml:space="preserve">USD 10,000 to 25,000 a year, below his target</t>
  </si>
  <si>
    <t xml:space="preserve">about 11 Jul 2026, apply before 9 Aug 2026</t>
  </si>
  <si>
    <t xml:space="preserve">2+ years B2B SaaS L1 and L2 support, root cause troubleshooting, Jira, Notion, Intercom and Canny. REST API familiarity and browser devtools listed as nice to have.</t>
  </si>
  <si>
    <t xml:space="preserve">Pay tops out around USD 25,000, clearly under target. The application window closes 9 August 2026, so this one is urgent. Full detail sits behind a WeWorkRemotely account.</t>
  </si>
  <si>
    <t xml:space="preserve">https://weworkremotely.com/remote-jobs/qase-technical-customer-support-specialist</t>
  </si>
  <si>
    <t xml:space="preserve">high - WeWorkRemotely rendered the title, the Anywhere in the World line, the salary band, requirements and an apply path.</t>
  </si>
  <si>
    <t xml:space="preserve">Cocoon</t>
  </si>
  <si>
    <t xml:space="preserve">USD 170,000 a year</t>
  </si>
  <si>
    <t xml:space="preserve">22 Jun 2026</t>
  </si>
  <si>
    <t xml:space="preserve">TypeScript, React, Next.js, Node.js, Express, GraphQL, Postgres, AWS. Almost a one-to-one match with his stack.</t>
  </si>
  <si>
    <t xml:space="preserve">Framed as an experienced engineer leading large-scope projects, above his 3 years. A US company, so expect US hours and possible US-only payroll despite the all-countries flag. Verify eligibility first.</t>
  </si>
  <si>
    <t xml:space="preserve">https://himalayas.app/companies/cocoon/jobs/software-engineer</t>
  </si>
  <si>
    <t xml:space="preserve">medium - Himalayas rendered the exact title, company, salary and an apply path. The all-countries claim is the aggregator's field.</t>
  </si>
  <si>
    <t xml:space="preserve">NedGraphics (Dorado Software Group)</t>
  </si>
  <si>
    <t xml:space="preserve">Spain - Remote  |  Spain, remote</t>
  </si>
  <si>
    <t xml:space="preserve">29 Jul 2026</t>
  </si>
  <si>
    <t xml:space="preserve">HubSpot, and automation platforms named as Zapier, Make, n8n or HubSpot Breeze, plus AI tools. Almost a list of his exact tools.</t>
  </si>
  <si>
    <t xml:space="preserve">Spain-only, so he would need to be resident there. Sister postings exist for Portugal, Romania and Poland, listed separately below.</t>
  </si>
  <si>
    <t xml:space="preserve">https://doradosoftwaregroup.pinpointhq.com/en/postings/2b690194-5f6f-4217-8c9d-37e560e449b0</t>
  </si>
  <si>
    <t xml:space="preserve">low - pinpointhq.com would not open in this session. Title, scope, tool list and date came from a rendered aggregator page.</t>
  </si>
  <si>
    <t xml:space="preserve">GTM Engineer - AI Systems</t>
  </si>
  <si>
    <t xml:space="preserve">Huzzle</t>
  </si>
  <si>
    <t xml:space="preserve">Salaries vary by client and candidate preference</t>
  </si>
  <si>
    <t xml:space="preserve">10 Jul 2026, deadline 8 Sep 2026</t>
  </si>
  <si>
    <t xml:space="preserve">Clay, SmartLead, HeyReach, Claude, n8n, Zapier, APIs, CRM systems, workflow automation. n8n plus Claude plus CRM is his exact centre of gravity.</t>
  </si>
  <si>
    <t xml:space="preserve">Requires US timezone hours with Pacific overlap preferred, which from Italy is a very late day. Deep Clay and hands-on Claude called non-negotiable. Talent marketplace, so the end employer is unnamed.</t>
  </si>
  <si>
    <t xml:space="preserve">https://himalayas.app/companies/huzzle/jobs/gtm-engineer-ai-systems</t>
  </si>
  <si>
    <t xml:space="preserve">medium - Himalayas rendered title, Romania only, contractor basis, tool list and the September deadline.</t>
  </si>
  <si>
    <t xml:space="preserve">Technical Account Manager - EMEA</t>
  </si>
  <si>
    <t xml:space="preserve">PostHog</t>
  </si>
  <si>
    <t xml:space="preserve">Remote (EMEA)  |  Remote, EMEA</t>
  </si>
  <si>
    <t xml:space="preserve">PostHog is a developer-facing product analytics and feature flag platform, so technical account management there is API, SDK and instrumentation heavy, which suits his integration and documentation background.</t>
  </si>
  <si>
    <t xml:space="preserve">The Ashby page is client-rendered and returned only a JavaScript notice, so the live body could not be confirmed. Confirm Italy sits inside their EMEA hiring set. The role leans commercial rather than pure support.</t>
  </si>
  <si>
    <t xml:space="preserve">https://jobs.ashbyhq.com/posthog/b42fd20b-b647-4f42-b725-b29ca472cba8</t>
  </si>
  <si>
    <t xml:space="preserve">low - Ashby body did not render. Title and the Remote (EMEA) location came from PostHog's Ashby job board feed, not rendered page text.</t>
  </si>
  <si>
    <t xml:space="preserve">Support Engineer (afternoon and night shifts)</t>
  </si>
  <si>
    <t xml:space="preserve">Apify</t>
  </si>
  <si>
    <t xml:space="preserve">Prague (Lucerna Palace), Brno (Titanium), or fully remote in Czech Republic  |  Czechia, Prague or Brno offices or fully remote inside Czechia</t>
  </si>
  <si>
    <t xml:space="preserve">not stated, Apify works in English</t>
  </si>
  <si>
    <t xml:space="preserve">Apify is a web scraping and automation API platform built on Node.js and TypeScript actors with REST APIs and webhooks. Very close to his n8n, webhook and integration debugging work.</t>
  </si>
  <si>
    <t xml:space="preserve">Requires residence in Czechia, so relocation plus a local permit. Afternoon and night shifts.</t>
  </si>
  <si>
    <t xml:space="preserve">https://jobs.ashbyhq.com/apify/08d05f4e-d727-485b-a1b7-1a6df00c225d</t>
  </si>
  <si>
    <t xml:space="preserve">low - Ashby body did not render. Cross-checked two ways: the role is listed as open on Apify's own server-rendered careers page, and Apify's Ashby feed carries it with a 22 June 2026 publish date.</t>
  </si>
  <si>
    <t xml:space="preserve">Lead Full Stack Engineer (AI-first) | Remote (from Europe)</t>
  </si>
  <si>
    <t xml:space="preserve">Creatunity LLC</t>
  </si>
  <si>
    <t xml:space="preserve">https://jobs.workable.com/view/jVGnyeQeCeg4BoUw2QPnP5/lead-full-stack-engineer-(ai-first)-%7C-remote-(from-europe)-in-amsterdam-at-creatunity-llc</t>
  </si>
  <si>
    <t xml:space="preserve">Forward-Deployed Engineer</t>
  </si>
  <si>
    <t xml:space="preserve">Zencargo</t>
  </si>
  <si>
    <t xml:space="preserve">https://himalayas.app/companies/zencargo/jobs/forward-deployed-engineer-9064118696</t>
  </si>
  <si>
    <t xml:space="preserve">AI Full Stack Developer</t>
  </si>
  <si>
    <t xml:space="preserve">Leadtech</t>
  </si>
  <si>
    <t xml:space="preserve">not stated  |  Spain, fully remote</t>
  </si>
  <si>
    <t xml:space="preserve">No Spanish requirement stated, the posting and requirements are in English</t>
  </si>
  <si>
    <t xml:space="preserve">about 18 Jul 2026</t>
  </si>
  <si>
    <t xml:space="preserve">TypeScript, Next.js App Router, React, NestJS, Fastify, Prisma, PostgreSQL, SWR, Tailwind, Claude SDK, Model Context Protocol</t>
  </si>
  <si>
    <t xml:space="preserve">Closest stack match in its lane: Next.js, React, TypeScript, Node and Postgres plus Anthropic tooling. Confirm the contract is Spain-based and that Spanish really is not needed. Note leadtech appeared on the 5 Aug dead list under three other roles, so this board moves fast.</t>
  </si>
  <si>
    <t xml:space="preserve">https://www.welcometothejungle.com/en/companies/leadtech/jobs/ai-developer-full-stack_es_hup3tkve</t>
  </si>
  <si>
    <t xml:space="preserve">high - Welcome to the Jungle rendered the full body and the Workable apply link. The Workable page itself is client-rendered and could not be read.</t>
  </si>
  <si>
    <t xml:space="preserve">commercetools</t>
  </si>
  <si>
    <t xml:space="preserve">Berlin, Germany (Hybrid)  |  Germany, Berlin hybrid</t>
  </si>
  <si>
    <t xml:space="preserve">TypeScript and Node.js, React, SQL, REST, MCP, retrieval and embeddings, prompt engineering, agent UI protocols</t>
  </si>
  <si>
    <t xml:space="preserve">Asks 5+ years shipping production software and 2+ building with LLMs in production, against his 3. Berlin hybrid means relocating. Python is named first in the stack.</t>
  </si>
  <si>
    <t xml:space="preserve">https://job-boards.greenhouse.io/commercetools/jobs/7774983003</t>
  </si>
  <si>
    <t xml:space="preserve">high - Rendered Greenhouse body shows one posting, the Berlin hybrid line, the years requirement and a full application form.</t>
  </si>
  <si>
    <t xml:space="preserve">Versatile Web Scraper Needed</t>
  </si>
  <si>
    <t xml:space="preserve">Private client via Freelancer.com (Orange, US)</t>
  </si>
  <si>
    <t xml:space="preserve">Scraping and parsing pipelines, JavaScript, PHP, API development, automation, lead and contact enrichment output</t>
  </si>
  <si>
    <t xml:space="preserve">Skill tags include Python, and JS-heavy site handling implies a headless browser stack he has not listed. A US client but remote freelance, so no sponsorship question. Aviation contact scraping raises data-source and GDPR questions worth clarifying first.</t>
  </si>
  <si>
    <t xml:space="preserve">https://www.freelancer.com/projects/data-extraction/versatile-web-scraper-needed</t>
  </si>
  <si>
    <t xml:space="preserve">high - Rendered body confirms the title, the USD 250 to 750 budget, the client and that it is open for bidding.</t>
  </si>
  <si>
    <t xml:space="preserve">Paires</t>
  </si>
  <si>
    <t xml:space="preserve">Brazil, Canada, France, Germany, Ireland, Netherlands, Poland, Portugal, South Africa, Spain, United Arab Emirates, United Kingdom  |  Remote, multi-country</t>
  </si>
  <si>
    <t xml:space="preserve">CAD 130K to 220K</t>
  </si>
  <si>
    <t xml:space="preserve">n8n, Clay, Claude Code, Cursor, APIs, data ingestion, enrichment, entity resolution</t>
  </si>
  <si>
    <t xml:space="preserve">Italy is NOT on the list, so he must be resident in France, Germany, Netherlands, Poland, Portugal or Spain. Ireland on the list is a sponsorship route. Requires SQL and Python. Pay far above target signals a senior bar. US Eastern overlap needed.</t>
  </si>
  <si>
    <t xml:space="preserve">https://himalayas.app/companies/paires/jobs/gtm-engineer</t>
  </si>
  <si>
    <t xml:space="preserve">medium - Himalayas rendered title, the full twelve-country list, the CAD band and the tool list.</t>
  </si>
  <si>
    <t xml:space="preserve">Senior Software Engineer - PHP, TypeScript, Node.js</t>
  </si>
  <si>
    <t xml:space="preserve">Undisclosed employer via Jobgether (PHP req)</t>
  </si>
  <si>
    <t xml:space="preserve">based in Italy  |  Italy, remote with EMEA flexibility</t>
  </si>
  <si>
    <t xml:space="preserve">PHP, Node.js, TypeScript, PostgreSQL. His Laravel and PHP plus TypeScript plus Postgres background maps directly onto the three headline languages.</t>
  </si>
  <si>
    <t xml:space="preserve">No Italian requirement stated and no language line at all. The framework is Symfony not Laravel. Kubernetes, Terraform and Helm are in the stack and he lacks devops depth. Angular is listed and he has none. Titled Senior against his 3 years. Employer hidden.</t>
  </si>
  <si>
    <t xml:space="preserve">https://jobs.lever.co/jobgether/17f76227-a965-40ec-8d5b-5f98bef62e3e</t>
  </si>
  <si>
    <t xml:space="preserve">high - Rendered Lever page confirmed a single live posting with the exact title, Italy location, the based in Italy requirement and an active apply option.</t>
  </si>
  <si>
    <t xml:space="preserve">Notion Expert (Project-Based)</t>
  </si>
  <si>
    <t xml:space="preserve">Undisclosed employer via Jobgether (Notion req)</t>
  </si>
  <si>
    <t xml:space="preserve">Proven experience designing and managing advanced Notion workspaces, supported by a portfolio or project examples  |  Italy, remote</t>
  </si>
  <si>
    <t xml:space="preserve">The Notion API plus automation platforms explicitly named as Make, Zapier, or similar tools, and integration with business applications. The closest direct hit on his no-code toolchain in the whole Italy set.</t>
  </si>
  <si>
    <t xml:space="preserve">No Italian requirement stated. Project-based and fully remote, so it fits the day-rate lane, but no rate is published at all. Requires a portfolio of Notion workspaces and he has no public GitHub or stated Notion portfolio, so he would need to assemble evidence. Narrower and less engineering-weighted than his target roles. Employer hidden.</t>
  </si>
  <si>
    <t xml:space="preserve">https://jobs.lever.co/jobgether/ebed3f39-8988-4cda-bc1b-fc212cc8dd98</t>
  </si>
  <si>
    <t xml:space="preserve">high - Rendered Lever page confirmed a single live posting with the exact title, Italy location, project-based framing and the Make and Zapier tooling line.</t>
  </si>
  <si>
    <t xml:space="preserve">Specialist Solution Engineer</t>
  </si>
  <si>
    <t xml:space="preserve">Salesforce</t>
  </si>
  <si>
    <t xml:space="preserve">not stated  |  Milan, Italy, hybrid</t>
  </si>
  <si>
    <t xml:space="preserve">Advanced level of English</t>
  </si>
  <si>
    <t xml:space="preserve">EUR 56,325 to 75,375 a year</t>
  </si>
  <si>
    <t xml:space="preserve">4 Aug 2026</t>
  </si>
  <si>
    <t xml:space="preserve">Marketing automation, CDP, APIs and integrations, solution demos. His CRM automation, lead enrichment and Make, Zapier and n8n background transfers into marketing-automation pre-sales, and the 3+ years bar matches.</t>
  </si>
  <si>
    <t xml:space="preserve">The language line names English only and no Italian requirement is stated, which is unusual and favourable for a Salesforce Italy role. Verify at first call anyway, because SMB-segment Salesforce pre-sales in Italy is normally customer-facing in Italian. Marketing Cloud and Data Cloud experience preferred and he has none. Pay well above target means a higher bar. Hybrid Milan.</t>
  </si>
  <si>
    <t xml:space="preserve">https://startup.jobs/specialist-solution-engineer-salesforce-8912021</t>
  </si>
  <si>
    <t xml:space="preserve">medium - A rendered aggregator confirmed the single posting with title, Milan, the explicit salary band, the English requirement, posted date and requirement list. The canonical Salesforce careers page was not separately opened.</t>
  </si>
  <si>
    <t xml:space="preserve">Senior AI Engineer</t>
  </si>
  <si>
    <t xml:space="preserve">deeploi</t>
  </si>
  <si>
    <t xml:space="preserve">Excellent English (C1); German is a plus  |  Germany, Munich, with offices in Berlin and Munich</t>
  </si>
  <si>
    <t xml:space="preserve">English C1 stated, German only a plus</t>
  </si>
  <si>
    <t xml:space="preserve">LLM application architecture: tool calling, RAG, orchestration, memory and context management, evaluation and guardrails. That is the formal vocabulary for the agentic n8n work he already does. TypeScript accepted alongside Python.</t>
  </si>
  <si>
    <t xml:space="preserve">Asks 6+ years in software or machine learning engineering plus a production GenAI track record, so he is under-qualified on paper. The employer is an IT platform and managed-support provider. No remote policy stated, so assume Munich presence.</t>
  </si>
  <si>
    <t xml:space="preserve">https://deeploi.jobs.personio.de/job/2717159</t>
  </si>
  <si>
    <t xml:space="preserve">high - Rendered body confirmed title, employer description, requirement lines and an Apply for this job button.</t>
  </si>
  <si>
    <t xml:space="preserve">Corporate Solutions Engineer, Nordics</t>
  </si>
  <si>
    <t xml:space="preserve">Postman (Nordics req)</t>
  </si>
  <si>
    <t xml:space="preserve">Remote, Denmark  |  Remote, Denmark</t>
  </si>
  <si>
    <t xml:space="preserve">English, no Nordic language stated as required</t>
  </si>
  <si>
    <t xml:space="preserve">API expertise, the Postman platform, JavaScript, SaaS sales process support, technical presentations</t>
  </si>
  <si>
    <t xml:space="preserve">Denmark opted out of Directive 2003/109/EC, so this is a Danish residence and work permit application, not free movement. Asks 4+ years corporate solutions engineering and 3+ years software development, above his level.</t>
  </si>
  <si>
    <t xml:space="preserve">https://job-boards.greenhouse.io/postman/jobs/7529471003</t>
  </si>
  <si>
    <t xml:space="preserve">high - Greenhouse rendered the title, the Remote, Denmark line, the experience bullets and an apply form.</t>
  </si>
  <si>
    <t xml:space="preserve">Agentic Builder</t>
  </si>
  <si>
    <t xml:space="preserve">Emplifi</t>
  </si>
  <si>
    <t xml:space="preserve">LinkedIn location field: Prague, Czechia  |  Prague, Czechia</t>
  </si>
  <si>
    <t xml:space="preserve">needs checking</t>
  </si>
  <si>
    <t xml:space="preserve">6 days ago</t>
  </si>
  <si>
    <t xml:space="preserve">Agentic Builder is close to a literal description of his n8n work.</t>
  </si>
  <si>
    <t xml:space="preserve">https://www.linkedin.com/jobs/view/4416885598/</t>
  </si>
  <si>
    <t xml:space="preserve">Workplace AI Automation Engineer</t>
  </si>
  <si>
    <t xml:space="preserve">Sogeti (workplace req)</t>
  </si>
  <si>
    <t xml:space="preserve">LinkedIn location field: Utrecht, Netherlands  |  Utrecht, Netherlands</t>
  </si>
  <si>
    <t xml:space="preserve">4 days ago</t>
  </si>
  <si>
    <t xml:space="preserve">Workplace automation is where his Copilot Studio and Power Automate certifications actually count.</t>
  </si>
  <si>
    <t xml:space="preserve">https://www.linkedin.com/jobs/view/4428825661/</t>
  </si>
  <si>
    <t xml:space="preserve">AI and Automation Specialist (gn)</t>
  </si>
  <si>
    <t xml:space="preserve">SoftwareOne</t>
  </si>
  <si>
    <t xml:space="preserve">LinkedIn location field: Milan, Lombardy, Italy  |  Milan, Lombardy, Italy</t>
  </si>
  <si>
    <t xml:space="preserve">SoftwareOne is a global Microsoft partner, which is where his Copilot Studio and Power Automate certifications carry weight.</t>
  </si>
  <si>
    <t xml:space="preserve">https://www.linkedin.com/jobs/view/4443816208/</t>
  </si>
  <si>
    <t xml:space="preserve">AI Engineer, GenAI and LLM</t>
  </si>
  <si>
    <t xml:space="preserve">Lutech (Cosenza)</t>
  </si>
  <si>
    <t xml:space="preserve">LinkedIn location field: Cosenza, Calabria, Italy  |  Cosenza, Calabria, Italy</t>
  </si>
  <si>
    <t xml:space="preserve">https://www.linkedin.com/jobs/view/4447996831/</t>
  </si>
  <si>
    <t xml:space="preserve">AI Engineer (GenAI and LLM)</t>
  </si>
  <si>
    <t xml:space="preserve">Proxima Group</t>
  </si>
  <si>
    <t xml:space="preserve">LinkedIn location field: Rome, Latium, Italy  |  Rome, Latium, Italy</t>
  </si>
  <si>
    <t xml:space="preserve">https://www.linkedin.com/jobs/view/4440157888/</t>
  </si>
  <si>
    <t xml:space="preserve">AI Engineer (Generative AI and LLM)</t>
  </si>
  <si>
    <t xml:space="preserve">Best Engage</t>
  </si>
  <si>
    <t xml:space="preserve">https://www.linkedin.com/jobs/view/4439151703/</t>
  </si>
  <si>
    <t xml:space="preserve">Technical Support Engineer</t>
  </si>
  <si>
    <t xml:space="preserve">Makersite</t>
  </si>
  <si>
    <t xml:space="preserve">Work from anywhere in the EU, with the option to collaborate in person at our offices in Stuttgart, Berlin  |  German company, remote from anywhere in the EU</t>
  </si>
  <si>
    <t xml:space="preserve">Excellent English proficiency (mother tongue level preferred). No German requirement stated.</t>
  </si>
  <si>
    <t xml:space="preserve">EUR 70,000 to 80,000 a year</t>
  </si>
  <si>
    <t xml:space="preserve">SQL, Python, REST APIs, AWS, Azure, Grafana, ServiceNow</t>
  </si>
  <si>
    <t xml:space="preserve">Best eligibility wording of the whole sweep for an Italy-based EU long-term resident: work from anywhere in the EU, stated plainly. Support tier rather than build, and pay well above his band means a higher bar.</t>
  </si>
  <si>
    <t xml:space="preserve">https://makersitegmbh.recruitee.com/o/technical-support-engineer-mfx</t>
  </si>
  <si>
    <t xml:space="preserve">medium - Body and the anywhere-in-the-EU line verified from a rendered mirror dated 5 days before the sweep. The Recruitee page returned 503 on three attempts so the apply form was not seen.</t>
  </si>
  <si>
    <t xml:space="preserve">Senior AI Engineer (f/m/d)</t>
  </si>
  <si>
    <t xml:space="preserve">Awin</t>
  </si>
  <si>
    <t xml:space="preserve">Amsterdam, Netherlands; Berlin, Germany; Hannover, Germany; Iasi, Romania; London, United Kingdom; Madrid, Spain; Milano, Italy; Munchen, Germany; Warsaw, Poland  |  Multi-country, includes Milan, Italy</t>
  </si>
  <si>
    <t xml:space="preserve">not stated, English throughout</t>
  </si>
  <si>
    <t xml:space="preserve">JavaScript and TypeScript, LLM APIs, REST work, observability and tracing on LLM calls</t>
  </si>
  <si>
    <t xml:space="preserve">Titled Senior against his 3 years. Python and Azure or AWS are named before JavaScript. The form asks work authorisation and visa sponsorship questions. Milan is the only Italian site, so not remote-from-Venice unless negotiated.</t>
  </si>
  <si>
    <t xml:space="preserve">https://job-boards.greenhouse.io/awin/jobs/7720634003</t>
  </si>
  <si>
    <t xml:space="preserve">high - Rendered Greenhouse body shows one posting, the full nine-city location string and a complete application form.</t>
  </si>
  <si>
    <t xml:space="preserve">n8n Automation Architect</t>
  </si>
  <si>
    <t xml:space="preserve">Insurance-sector client via freelancermap</t>
  </si>
  <si>
    <t xml:space="preserve">Location: Germany (Fully Remote) (Workshops in Cologne and Frankfurt)  |  Germany, fully remote with occasional in-person workshops in Cologne and Frankfurt</t>
  </si>
  <si>
    <t xml:space="preserve">English fluency required. German described as beneficial, not required.</t>
  </si>
  <si>
    <t xml:space="preserve">not stated, capacity listed as 32 to 40 hours a week</t>
  </si>
  <si>
    <t xml:space="preserve">20 Apr 2026</t>
  </si>
  <si>
    <t xml:space="preserve">n8n workflow architecture, APIs, event-driven systems, process orchestration, AI-driven workflow automation, translating business process into automation design</t>
  </si>
  <si>
    <t xml:space="preserve">Posted April 2026, so verify it has not been filled. Asks for insurance domain knowledge and mainframe or legacy integration including COBOL environments and message queues, neither of which is on his CV. Architect-level seniority against 3 years. Occasional travel to Cologne and Frankfurt. A German client will normally accept an Italian individual Partita IVA invoice, but confirm no GmbH is required.</t>
  </si>
  <si>
    <t xml:space="preserve">https://www.freelancermap.com/project/n8n-automation-architect</t>
  </si>
  <si>
    <t xml:space="preserve">medium - Rendered body confirms the title, the location line, the 32 to 40 hours capacity and the requirement list. Could not confirm it is still accepting applications.</t>
  </si>
  <si>
    <t xml:space="preserve">Technical Success Manager - Strategic Accounts</t>
  </si>
  <si>
    <t xml:space="preserve">Deliverect</t>
  </si>
  <si>
    <t xml:space="preserve">Applicants must possess the legal right to work in the country where the role is based, as we are currently unable to provide financial assistance for relocation or travel.  |  Hybrid. Ghent, Amersfoort, Paris, plus Toronto, Chicago, New York</t>
  </si>
  <si>
    <t xml:space="preserve">English, stated as required</t>
  </si>
  <si>
    <t xml:space="preserve">Toronto CAD 80,000 to 100,000, Chicago USD 90,000 to 110,000, New York USD 95,000 to 120,000. EU bands not stated.</t>
  </si>
  <si>
    <t xml:space="preserve">Asks 2 to 4 years in technical account management, solutions engineering or technical support in enterprise SaaS. APIs, webhooks, SQL, Python or JavaScript, log reading and diagnostics. Maps to his integration and CRM automation work plus product ownership.</t>
  </si>
  <si>
    <t xml:space="preserve">Hybrid, so he must move to Ghent or Amersfoort, and the employer explicitly will not fund relocation or travel. No EU salary band published.</t>
  </si>
  <si>
    <t xml:space="preserve">https://jobs.lever.co/deliverect/ec294766-fb58-4dd9-8c2f-c18019f599ca</t>
  </si>
  <si>
    <t xml:space="preserve">high - Lever page rendered a single posting with title, location list, full-time permanent, description and an apply button.</t>
  </si>
  <si>
    <t xml:space="preserve">CCaaS Implementation Consultant</t>
  </si>
  <si>
    <t xml:space="preserve">HumanIT Digital Consulting</t>
  </si>
  <si>
    <t xml:space="preserve">not stated  |  Portugal, remote</t>
  </si>
  <si>
    <t xml:space="preserve">Fluent English, required for daily collaboration across an international environment. No Portuguese requirement stated.</t>
  </si>
  <si>
    <t xml:space="preserve">EUR 45,000 to 56,000 a year per aggregator, unconfirmed on the employer page. Above his target.</t>
  </si>
  <si>
    <t xml:space="preserve">29 Jul 2026 per aggregator</t>
  </si>
  <si>
    <t xml:space="preserve">2 to 5 years configuring contact-centre platforms, which matches his level. Sprinklr Service and CCaaS modules or comparable Genesys or NICE CXone. Configuration-and-integration delivery is close to his n8n, Make and Power Automate work.</t>
  </si>
  <si>
    <t xml:space="preserve">Consultancy, so expect client-billable delivery. Sprinklr-specific experience is the main ask and he has none. Salary figure unverified.</t>
  </si>
  <si>
    <t xml:space="preserve">https://www.careers-page.com/humanit/job/W34WXVX9</t>
  </si>
  <si>
    <t xml:space="preserve">low - careers-page.com would not open in this session. All details came from a rendered aggregator mirror.</t>
  </si>
  <si>
    <t xml:space="preserve">Full Stack Engineer (PHP / JavaScript / AI)</t>
  </si>
  <si>
    <t xml:space="preserve">BetterMe</t>
  </si>
  <si>
    <t xml:space="preserve">Worldwide  |  Remote, worldwide</t>
  </si>
  <si>
    <t xml:space="preserve">PHP 8.0+, Laravel, JavaScript, React, MySQL, PostgreSQL, Redis. Claude Code, Codex and Cursor are named in the requirements, a direct match for his coding-agent habit.</t>
  </si>
  <si>
    <t xml:space="preserve">Asks 5+ years versus his 3. Symfony, Vue and jQuery also in the stack. RabbitMQ and Kafka scale work. No salary stated.</t>
  </si>
  <si>
    <t xml:space="preserve">https://euremotejobs.com/job/full-stack-engineer-php-javascript-ai/</t>
  </si>
  <si>
    <t xml:space="preserve">medium - euremotejobs rendered the exact title, company, Worldwide location, the AI-tooling requirements and a Breezy apply link.</t>
  </si>
  <si>
    <t xml:space="preserve">Backend Developer - Remote</t>
  </si>
  <si>
    <t xml:space="preserve">Wildix</t>
  </si>
  <si>
    <t xml:space="preserve">Worldwide  |  Remote-first, open globally. Wildix is Italian-founded, so an Italy-based hire is administratively straightforward.</t>
  </si>
  <si>
    <t xml:space="preserve">Upper-Intermediate English skills (B2+) for daily collaboration in our international team. English only, no Italian required.</t>
  </si>
  <si>
    <t xml:space="preserve">PHP 8.x, MySQL, Redis, AWS Lambda and API Gateway, Salesforce REST API integration. Asks 2+ years, which fits his level, and the integration work matches his API background.</t>
  </si>
  <si>
    <t xml:space="preserve">Go sits in the required stack alongside PHP and he does not have Go. Backend-only, not product or full-stack. Infrastructure-as-code with AWS SAM expected and his devops depth is thin.</t>
  </si>
  <si>
    <t xml:space="preserve">https://euremotejobs.com/job/backend-developer-remote/</t>
  </si>
  <si>
    <t xml:space="preserve">medium - euremotejobs rendered the exact title, company, 2-year bar, the English B2+ line and a BambooHR apply link. The BambooHR page returned a permission error.</t>
  </si>
  <si>
    <t xml:space="preserve">Senior Product Engineer</t>
  </si>
  <si>
    <t xml:space="preserve">Kombo</t>
  </si>
  <si>
    <t xml:space="preserve">not stated  |  Berlin, Germany. Onsite 4+ days per week.</t>
  </si>
  <si>
    <t xml:space="preserve">not stated, the posting is in English</t>
  </si>
  <si>
    <t xml:space="preserve">TypeScript, Node.js, React, PostgreSQL, GCP, Docker, Prisma. Kombo's product is unified HR and ATS integration APIs, a direct thematic match to his integration and parsing pipeline work.</t>
  </si>
  <si>
    <t xml:space="preserve">Titled Senior and asks 5 to 8+ years against his 3, though the posting notes openness to various levels. Onsite 4+ days a week in Berlin, so no remote option.</t>
  </si>
  <si>
    <t xml:space="preserve">https://berlinstartupjobs.com/engineering/senior-product-engineer-kombo/</t>
  </si>
  <si>
    <t xml:space="preserve">medium - berlinstartupjobs rendered the full posting with the stack and an Ashby apply link. The Ashby page was not opened.</t>
  </si>
  <si>
    <t xml:space="preserve">Software Engineer (Frontend)</t>
  </si>
  <si>
    <t xml:space="preserve">Trustfull (frontend req)</t>
  </si>
  <si>
    <t xml:space="preserve">not stated  |  Milan, Italy, in-office with 60% remote flexibility</t>
  </si>
  <si>
    <t xml:space="preserve">EUR 35,000 to 60,000 gross</t>
  </si>
  <si>
    <t xml:space="preserve">about 26 Jul 2026</t>
  </si>
  <si>
    <t xml:space="preserve">React, TypeScript, RESTful APIs, Jest, Git and CI/CD, Figma-to-component work. Matches his React and Next.js delivery on FlowSpace. Requires 3+ years modern web app experience, which he meets.</t>
  </si>
  <si>
    <t xml:space="preserve">Same language caveat as the sibling role: a Milan-founded startup, so confirm. Micro frontends via module federation is called out as required expertise and he has no stated exposure. Relocation from Venice needed.</t>
  </si>
  <si>
    <t xml:space="preserve">https://builtin.com/job/software-engineer-frontend/7834165</t>
  </si>
  <si>
    <t xml:space="preserve">high - Rendered body showed the single posting with title, Milan, salary band, the 3+ years requirement and the full stack list.</t>
  </si>
  <si>
    <t xml:space="preserve">Technical Support Engineer (L1 Frontline)</t>
  </si>
  <si>
    <t xml:space="preserve">Databento</t>
  </si>
  <si>
    <t xml:space="preserve">Remote - EU/APAC Time Zones  |  Remote, EU or APAC time zones</t>
  </si>
  <si>
    <t xml:space="preserve">English</t>
  </si>
  <si>
    <t xml:space="preserve">2 years minimum in technical support, API troubleshooting, curl, SQL, Grafana and Sentry observability, developer relations listed as a plus. His support agent build and integration debugging map well.</t>
  </si>
  <si>
    <t xml:space="preserve">Working proficiency in Python is listed as a requirement and his Python is thin. Financial market data domain is unfamiliar. The form asks visa sponsorship status.</t>
  </si>
  <si>
    <t xml:space="preserve">https://job-boards.greenhouse.io/databento/jobs/7943501</t>
  </si>
  <si>
    <t xml:space="preserve">high - Greenhouse rendered this title, the verbatim location line, the requirements list and a complete apply form.</t>
  </si>
  <si>
    <t xml:space="preserve">AI Solutions Engineer</t>
  </si>
  <si>
    <t xml:space="preserve">Berkeley Square IT</t>
  </si>
  <si>
    <t xml:space="preserve">https://himalayas.app/companies/berkeley-square-it/jobs/ai-solutions-engineer</t>
  </si>
  <si>
    <t xml:space="preserve">Founding Engineer (Core)</t>
  </si>
  <si>
    <t xml:space="preserve">Avery</t>
  </si>
  <si>
    <t xml:space="preserve">https://join.com/companies/getaveryai/16375814-founding-engineer-core</t>
  </si>
  <si>
    <t xml:space="preserve">AI Full-Stack Engineer, Contract</t>
  </si>
  <si>
    <t xml:space="preserve">Vibiz</t>
  </si>
  <si>
    <t xml:space="preserve">28 Jul 2026</t>
  </si>
  <si>
    <t xml:space="preserve">JavaScript, TypeScript, Next.js</t>
  </si>
  <si>
    <t xml:space="preserve">Italy remote so no relocation, and contract basis suits the Partita IVA. But contract length and day rate are not stated and the Ashby body could not be read, so confirm both before investing.</t>
  </si>
  <si>
    <t xml:space="preserve">https://jobs.ashbyhq.com/vibiz/e4d28e9f-6833-418c-bb91-d96f6f0cedca</t>
  </si>
  <si>
    <t xml:space="preserve">low - Ashby page client-rendered, body unread. Title, contract basis, stack and date from a rendered mirror.</t>
  </si>
  <si>
    <t xml:space="preserve">Senior AI Automation Engineer</t>
  </si>
  <si>
    <t xml:space="preserve">Appfire</t>
  </si>
  <si>
    <t xml:space="preserve">Appfire is only able to hire candidates who are currently located in and eligible to work without sponsorship in the countries listed below.  |  Bulgaria, fully remote within Bulgaria with an optional Sofia office</t>
  </si>
  <si>
    <t xml:space="preserve">English-working. The posting and form are English only, no Bulgarian requirement stated.</t>
  </si>
  <si>
    <t xml:space="preserve">n8n, Zapier, Make, Workato or equivalent platforms</t>
  </si>
  <si>
    <t xml:space="preserve">Requires him to be ALREADY located in Bulgaria, so it is move-first rather than apply-first. Senior title against 3 years. Note Appfire was previously rejected as India-only, so their country scope has changed.</t>
  </si>
  <si>
    <t xml:space="preserve">https://job-boards.greenhouse.io/appfire/jobs/4711980005</t>
  </si>
  <si>
    <t xml:space="preserve">high - Rendered body showed the title, the Bulgaria-remote location, the explicit n8n, Zapier, Make and Workato line and a full Greenhouse application form.</t>
  </si>
  <si>
    <t xml:space="preserve">Technical Product Manager</t>
  </si>
  <si>
    <t xml:space="preserve">BJAK</t>
  </si>
  <si>
    <t xml:space="preserve">not stated  |  Netherlands, remote. The same role is posted separately for Poland, Germany, Sweden, Austria, Spain, Portugal and Ireland, so the country can be chosen.</t>
  </si>
  <si>
    <t xml:space="preserve">Strong English communication required</t>
  </si>
  <si>
    <t xml:space="preserve">Technical PM on LLM-based products, system design, payment and money movement systems. Maps to his product ownership plus hands-on LLM API work.</t>
  </si>
  <si>
    <t xml:space="preserve">Mid to senior level. Regulated-domain experience in payments, banking or insurance is wanted and he has none. The Ireland variant would be a sponsorship application.</t>
  </si>
  <si>
    <t xml:space="preserve">https://jobs.ashbyhq.com/bjakcareer/3ead2626-c0ad-4fd4-96c1-1e4221c7ee81</t>
  </si>
  <si>
    <t xml:space="preserve">medium - A rendered aggregator shows the full job body including the English line and gives this Ashby apply URL. The Ashby page was not opened.</t>
  </si>
  <si>
    <t xml:space="preserve">Automation Specialist (fluent English, remote Europe)</t>
  </si>
  <si>
    <t xml:space="preserve">SupportYourApp</t>
  </si>
  <si>
    <t xml:space="preserve">Poland only  |  Remote, Poland. Title says Europe, eligibility line says Poland only.</t>
  </si>
  <si>
    <t xml:space="preserve">Fluency in English</t>
  </si>
  <si>
    <t xml:space="preserve">AI automation, workflow optimisation, process automation, APIs and integration, chatbots, client discovery sessions</t>
  </si>
  <si>
    <t xml:space="preserve">Title advertises Europe but eligibility says Poland only, so confirm first. Platform stack is Zendesk, Freshdesk and Intercom rather than n8n. Bar is 1+ years so pay is likely low. Closes 20 Aug.</t>
  </si>
  <si>
    <t xml:space="preserve">https://himalayas.app/companies/supportyourapp/jobs/fluent-english-automation-specialist-remote-europe</t>
  </si>
  <si>
    <t xml:space="preserve">medium - Himalayas rendered the title, Poland only, contractor type, English requirement and responsibilities.</t>
  </si>
  <si>
    <t xml:space="preserve">n8n Developer or Team Wanted</t>
  </si>
  <si>
    <t xml:space="preserve">Private poster on the n8n Community jobs board</t>
  </si>
  <si>
    <t xml:space="preserve">not stated  |  Remote, location not stated</t>
  </si>
  <si>
    <t xml:space="preserve">23 Jul 2026, newest reply 3 Aug 2026</t>
  </si>
  <si>
    <t xml:space="preserve">n8n workflow build, portfolio-led selection</t>
  </si>
  <si>
    <t xml:space="preserve">A very thin brief: no budget, no scope, no deadline, no location. The apply route is a thread reply or DM, not a formal ATS. The poster says proposals submitted without a portfolio will not be considered, and he has no public GitHub, so he needs to package FlowSpace and n8n workflow exports as the portfolio.</t>
  </si>
  <si>
    <t xml:space="preserve">https://community.n8n.io/t/looking-for-n8n-developer-or-team/304434</t>
  </si>
  <si>
    <t xml:space="preserve">medium - Rendered thread body confirms the title, the original post and an active reply path, with the newest reply dated 3 Aug 2026.</t>
  </si>
  <si>
    <t xml:space="preserve">GTM Engineer (Part Time or Full Time)</t>
  </si>
  <si>
    <t xml:space="preserve">Unnamed hirer via the Clay community jobs board</t>
  </si>
  <si>
    <t xml:space="preserve">CET Timezone  |  Remote, CET timezone, so Venice fits</t>
  </si>
  <si>
    <t xml:space="preserve">Part-time USD 700 to 800 a month plus performance bonuses. Full-time USD 1,000 to 1,400 a month plus bonuses.</t>
  </si>
  <si>
    <t xml:space="preserve">Clay as the primary tool, n8n, API and data source integration, outbound and lead enrichment automation, GoHighLevel nice to have</t>
  </si>
  <si>
    <t xml:space="preserve">Pay is well below his day-rate equivalent and a commenter in the thread flagged the compensation as very low. The hiring entity is not named, so do due diligence first. Clay is not on his CV though it is close to his enrichment work. Apply route is a DM plus a Loom video and resume.</t>
  </si>
  <si>
    <t xml:space="preserve">https://community.clay.com/x/full-time-jobs/dr9ev9pdah79/hiring-gtm-engineer-part-timefull-time-for-long-te</t>
  </si>
  <si>
    <t xml:space="preserve">medium - Rendered post body confirms the role, the CET timezone line, both pay bands and the Loom-plus-resume apply instruction.</t>
  </si>
  <si>
    <t xml:space="preserve">Implementation Engineer</t>
  </si>
  <si>
    <t xml:space="preserve">Neara</t>
  </si>
  <si>
    <t xml:space="preserve">not stated  |  Vilnius, Lithuania, with remote and hybrid options</t>
  </si>
  <si>
    <t xml:space="preserve">Fluent English required, stated in the JD</t>
  </si>
  <si>
    <t xml:space="preserve">EUR 3,000 to 5,000 a month per aggregator. The posting itself says competitive salary. The bottom of that band is close to his target.</t>
  </si>
  <si>
    <t xml:space="preserve">27 Jul 2026 per aggregator</t>
  </si>
  <si>
    <t xml:space="preserve">Mid-level. SQL and Python or similar, customer-facing implementation and configuration plus Neara's own schema language. Sits alongside his Postgres and parsing pipeline work.</t>
  </si>
  <si>
    <t xml:space="preserve">Ashby URL, so re-check before applying. GIS, CAD geoprocessing and LiDAR data are the working material, a specialised utilities domain he has no exposure to. Python named.</t>
  </si>
  <si>
    <t xml:space="preserve">https://jobs.ashbyhq.com/neara/12c88319-6f1e-48e1-acad-fc4c1017b1cd</t>
  </si>
  <si>
    <t xml:space="preserve">medium - The Ashby page returned full rendered body text (responsibilities, qualifications, benefits, the Fluent English line), not just a title, so it is very likely live. The apply form itself was not visible.</t>
  </si>
  <si>
    <t xml:space="preserve">Trustfull</t>
  </si>
  <si>
    <t xml:space="preserve">Job offers may be withdrawn if candidates do not meet our pre-employment checks: unspent criminal convictions, employment verification, and right to work.  |  Milan, Italy, in-office</t>
  </si>
  <si>
    <t xml:space="preserve">EUR 35,000 to 60,000 gross RAL</t>
  </si>
  <si>
    <t xml:space="preserve">about 20 Jul 2026</t>
  </si>
  <si>
    <t xml:space="preserve">TypeScript, PHP, Laravel, Symfony, Next.js, Docker, Git, Agile. The strongest single stack match in the Italy set: his Laravel plus TypeScript plus Next.js combination is named almost verbatim.</t>
  </si>
  <si>
    <t xml:space="preserve">No Italian requirement stated, but Trustfull is a Milan-founded startup so confirm the working language before investing. Listed as Senior against his 3 years. In-office Milan means moving from Venice. The salary band starts exactly on his target.</t>
  </si>
  <si>
    <t xml:space="preserve">https://builtin.com/job/software-engineer/7834176</t>
  </si>
  <si>
    <t xml:space="preserve">high - Rendered body showed the single posting with title, Milan location, RAL band, full requirement list and the pre-employment-check clause. Apply path is via a Built In account.</t>
  </si>
  <si>
    <t xml:space="preserve">Lexroom</t>
  </si>
  <si>
    <t xml:space="preserve">EUR 40,000 to 75,000 in the header, EUR 45,000 to 100,000 in the benefits section</t>
  </si>
  <si>
    <t xml:space="preserve">React and Next.js, JavaScript and TypeScript, SQL and vector databases, agent-driven and RAG-based AI systems. The agentic and RAG framing lines up with his n8n agentic workflow and LLM API work.</t>
  </si>
  <si>
    <t xml:space="preserve">HIGH ITALIAN RISK. No language requirement is stated, but Lexroom is an Italian legal-research AI product built on Italian case law and the domain work is in Italian, so treat the absence of a language line as unproven rather than safe. Also requires Python and Flask plus ML, NLP and LLM fine-tuning, which he lacks. Two conflicting salary figures on the same page.</t>
  </si>
  <si>
    <t xml:space="preserve">https://builtin.com/job/ai-engineer-full-stack/8308933</t>
  </si>
  <si>
    <t xml:space="preserve">medium - Built In rendered a single AI Engineer posting for Lexroom, Milan, with visible Apply Now buttons and full requirement text. The company's own careers URL 404'd, which is why this is not marked high.</t>
  </si>
  <si>
    <t xml:space="preserve">Senior Full Stack AI Engineer</t>
  </si>
  <si>
    <t xml:space="preserve">Toptal</t>
  </si>
  <si>
    <t xml:space="preserve">https://weworkremotely.com/remote-jobs/toptal-senior-full-stack-ai-engineer</t>
  </si>
  <si>
    <t xml:space="preserve">Applied AI and Automations</t>
  </si>
  <si>
    <t xml:space="preserve">hansetherm</t>
  </si>
  <si>
    <t xml:space="preserve">LinkedIn location field: Hamburg, Germany  |  Hamburg, Germany</t>
  </si>
  <si>
    <t xml:space="preserve">2 days ago</t>
  </si>
  <si>
    <t xml:space="preserve">Surfaced by a LinkedIn keyword search on n8n. Open the posting to confirm the stack.</t>
  </si>
  <si>
    <t xml:space="preserve">https://www.linkedin.com/jobs/view/4446249585/</t>
  </si>
  <si>
    <t xml:space="preserve">AI Specialist</t>
  </si>
  <si>
    <t xml:space="preserve">North Bucharest Investments</t>
  </si>
  <si>
    <t xml:space="preserve">LinkedIn location field: Bucharest, Romania  |  Bucharest, Romania</t>
  </si>
  <si>
    <t xml:space="preserve">5 hours ago, be an early applicant</t>
  </si>
  <si>
    <t xml:space="preserve">https://www.linkedin.com/jobs/view/4448096852/</t>
  </si>
  <si>
    <t xml:space="preserve">Automation and Analytics Specialist</t>
  </si>
  <si>
    <t xml:space="preserve">Webbing</t>
  </si>
  <si>
    <t xml:space="preserve">https://www.linkedin.com/jobs/view/4439731054/</t>
  </si>
  <si>
    <t xml:space="preserve">Workflow Specialist (m/w/d)</t>
  </si>
  <si>
    <t xml:space="preserve">Burgermeister</t>
  </si>
  <si>
    <t xml:space="preserve">LinkedIn location field: Berlin, Germany  |  Berlin, Germany</t>
  </si>
  <si>
    <t xml:space="preserve">German likely, the (m/w/d) marker and a German restaurant chain</t>
  </si>
  <si>
    <t xml:space="preserve">1 day ago</t>
  </si>
  <si>
    <t xml:space="preserve">https://www.linkedin.com/jobs/view/4449477191/</t>
  </si>
  <si>
    <t xml:space="preserve">Pilex AI</t>
  </si>
  <si>
    <t xml:space="preserve">LinkedIn location field: Volendam, North Holland, Netherlands  |  Volendam, North Holland, Netherlands</t>
  </si>
  <si>
    <t xml:space="preserve">https://www.linkedin.com/jobs/view/4447987900/</t>
  </si>
  <si>
    <t xml:space="preserve">Netwrix Corporation</t>
  </si>
  <si>
    <t xml:space="preserve">LinkedIn location field: Cracow, Poland  |  Cracow, Poland</t>
  </si>
  <si>
    <t xml:space="preserve">https://www.linkedin.com/jobs/view/4448633098/</t>
  </si>
  <si>
    <t xml:space="preserve">Avanai</t>
  </si>
  <si>
    <t xml:space="preserve">5 days ago</t>
  </si>
  <si>
    <t xml:space="preserve">https://www.linkedin.com/jobs/view/4445535821/</t>
  </si>
  <si>
    <t xml:space="preserve">Super</t>
  </si>
  <si>
    <t xml:space="preserve">LinkedIn location field: Zagreb, Croatia  |  Zagreb, Croatia</t>
  </si>
  <si>
    <t xml:space="preserve">1 hour ago</t>
  </si>
  <si>
    <t xml:space="preserve">https://www.linkedin.com/jobs/view/4431403123/</t>
  </si>
  <si>
    <t xml:space="preserve">Digital Growth Agency</t>
  </si>
  <si>
    <t xml:space="preserve">LinkedIn location field: Rotterdam, Netherlands  |  Rotterdam, Netherlands</t>
  </si>
  <si>
    <t xml:space="preserve">6 days ago, be an early applicant</t>
  </si>
  <si>
    <t xml:space="preserve">https://www.linkedin.com/jobs/view/4445030623/</t>
  </si>
  <si>
    <t xml:space="preserve">Automation Engineer (m/w/d)</t>
  </si>
  <si>
    <t xml:space="preserve">Vogel Beratung</t>
  </si>
  <si>
    <t xml:space="preserve">LinkedIn location field: Munich, Germany  |  Munich, Germany</t>
  </si>
  <si>
    <t xml:space="preserve">German likely, (m/w/d) marker</t>
  </si>
  <si>
    <t xml:space="preserve">https://www.linkedin.com/jobs/view/4440855987/</t>
  </si>
  <si>
    <t xml:space="preserve">Automation Specialist (m/w/d)</t>
  </si>
  <si>
    <t xml:space="preserve">ZIRKEL8</t>
  </si>
  <si>
    <t xml:space="preserve">LinkedIn location field: Germany  |  Germany</t>
  </si>
  <si>
    <t xml:space="preserve">https://www.linkedin.com/jobs/view/4446253180/</t>
  </si>
  <si>
    <t xml:space="preserve">AI and automation builder</t>
  </si>
  <si>
    <t xml:space="preserve">Dicar Motorhomes</t>
  </si>
  <si>
    <t xml:space="preserve">LinkedIn location field: Geel, Flemish Region, Belgium  |  Geel, Flemish Region, Belgium</t>
  </si>
  <si>
    <t xml:space="preserve">Dutch likely, Flemish employer</t>
  </si>
  <si>
    <t xml:space="preserve">https://www.linkedin.com/jobs/view/4447125262/</t>
  </si>
  <si>
    <t xml:space="preserve">Kijimea (SYNformulas GmbH)</t>
  </si>
  <si>
    <t xml:space="preserve">3 days ago</t>
  </si>
  <si>
    <t xml:space="preserve">https://www.linkedin.com/jobs/view/4441023666/</t>
  </si>
  <si>
    <t xml:space="preserve">AI Automations Specialist</t>
  </si>
  <si>
    <t xml:space="preserve">Teams Squared</t>
  </si>
  <si>
    <t xml:space="preserve">LinkedIn location field: Romania  |  Romania</t>
  </si>
  <si>
    <t xml:space="preserve">https://www.linkedin.com/jobs/view/4448984192/</t>
  </si>
  <si>
    <t xml:space="preserve">Sogeti</t>
  </si>
  <si>
    <t xml:space="preserve">https://www.linkedin.com/jobs/view/4437411822/</t>
  </si>
  <si>
    <t xml:space="preserve">TELUS Digital</t>
  </si>
  <si>
    <t xml:space="preserve">LinkedIn location field: Sofia, Bulgaria  |  Sofia, Bulgaria</t>
  </si>
  <si>
    <t xml:space="preserve">5 days ago, be an early applicant</t>
  </si>
  <si>
    <t xml:space="preserve">https://www.linkedin.com/jobs/view/4447197994/</t>
  </si>
  <si>
    <t xml:space="preserve">Automation Engineer - NL</t>
  </si>
  <si>
    <t xml:space="preserve">Capgemini</t>
  </si>
  <si>
    <t xml:space="preserve">Dutch possible, the NL suffix suggests a local team</t>
  </si>
  <si>
    <t xml:space="preserve">16 hours ago</t>
  </si>
  <si>
    <t xml:space="preserve">https://www.linkedin.com/jobs/view/4436225454/</t>
  </si>
  <si>
    <t xml:space="preserve">AI Automation Engineer (m/w/d)</t>
  </si>
  <si>
    <t xml:space="preserve">Evergreen Media</t>
  </si>
  <si>
    <t xml:space="preserve">LinkedIn location field: Innsbruck, Tyrol, Austria  |  Innsbruck, Tyrol, Austria</t>
  </si>
  <si>
    <t xml:space="preserve">https://www.linkedin.com/jobs/view/4447317507/</t>
  </si>
  <si>
    <t xml:space="preserve">Process Automation Manager (m/w/d)</t>
  </si>
  <si>
    <t xml:space="preserve">Holzhey-Consulting GmbH</t>
  </si>
  <si>
    <t xml:space="preserve">LinkedIn location field: Mannheim, Germany  |  Mannheim, Germany</t>
  </si>
  <si>
    <t xml:space="preserve">https://www.linkedin.com/jobs/view/4445586742/</t>
  </si>
  <si>
    <t xml:space="preserve">AI Enablement Specialist</t>
  </si>
  <si>
    <t xml:space="preserve">Omaze</t>
  </si>
  <si>
    <t xml:space="preserve">AI enablement inside a non-tech business is the lane where his certifications and his n8n work combine.</t>
  </si>
  <si>
    <t xml:space="preserve">https://www.linkedin.com/jobs/view/4429696197/</t>
  </si>
  <si>
    <t xml:space="preserve">AI and Automation Manager (m/w/d)</t>
  </si>
  <si>
    <t xml:space="preserve">assentio GmbH</t>
  </si>
  <si>
    <t xml:space="preserve">LinkedIn location field: Leipzig, Germany  |  Leipzig, Germany</t>
  </si>
  <si>
    <t xml:space="preserve">https://www.linkedin.com/jobs/view/4445518098/</t>
  </si>
  <si>
    <t xml:space="preserve">Integration and Automation Specialist</t>
  </si>
  <si>
    <t xml:space="preserve">BeeBase</t>
  </si>
  <si>
    <t xml:space="preserve">LinkedIn location field: Spain  |  Spain</t>
  </si>
  <si>
    <t xml:space="preserve">1 day ago, be an early applicant</t>
  </si>
  <si>
    <t xml:space="preserve">https://www.linkedin.com/jobs/view/4447377627/</t>
  </si>
  <si>
    <t xml:space="preserve">AI Consultant, Use Cases and Automation</t>
  </si>
  <si>
    <t xml:space="preserve">Spartif</t>
  </si>
  <si>
    <t xml:space="preserve">LinkedIn location field: Hengelo, Overijssel, Netherlands  |  Hengelo, Overijssel, Netherlands</t>
  </si>
  <si>
    <t xml:space="preserve">Dutch possible</t>
  </si>
  <si>
    <t xml:space="preserve">https://www.linkedin.com/jobs/view/4447361781/</t>
  </si>
  <si>
    <t xml:space="preserve">Hillewaere Insurance | ICS</t>
  </si>
  <si>
    <t xml:space="preserve">LinkedIn location field: Turnhout, Flemish Region, Belgium  |  Turnhout, Flemish Region, Belgium</t>
  </si>
  <si>
    <t xml:space="preserve">https://www.linkedin.com/jobs/view/4448582882/</t>
  </si>
  <si>
    <t xml:space="preserve">Business Automation Manager (m/w/d)</t>
  </si>
  <si>
    <t xml:space="preserve">TeleClinic</t>
  </si>
  <si>
    <t xml:space="preserve">https://www.linkedin.com/jobs/view/4447989368/</t>
  </si>
  <si>
    <t xml:space="preserve">AI Automation Specialist (m/w/d)</t>
  </si>
  <si>
    <t xml:space="preserve">BMMC BerlinMed Medical Consulting GmbH</t>
  </si>
  <si>
    <t xml:space="preserve">LinkedIn location field: Berlin Metropolitan Area, Germany  |  Berlin Metropolitan Area, Germany</t>
  </si>
  <si>
    <t xml:space="preserve">https://www.linkedin.com/jobs/view/4446223655/</t>
  </si>
  <si>
    <t xml:space="preserve">AI Integration Specialist</t>
  </si>
  <si>
    <t xml:space="preserve">Innoworks</t>
  </si>
  <si>
    <t xml:space="preserve">LinkedIn location field: Enschede, Overijssel, Netherlands  |  Enschede, Overijssel, Netherlands</t>
  </si>
  <si>
    <t xml:space="preserve">https://www.linkedin.com/jobs/view/4447334123/</t>
  </si>
  <si>
    <t xml:space="preserve">AI and Automation Engineer (Liege, Belgium)</t>
  </si>
  <si>
    <t xml:space="preserve">GAMING1</t>
  </si>
  <si>
    <t xml:space="preserve">LinkedIn location field: Liege, Walloon Region, Belgium  |  Liege, Walloon Region, Belgium</t>
  </si>
  <si>
    <t xml:space="preserve">French likely, Walloon employer</t>
  </si>
  <si>
    <t xml:space="preserve">https://www.linkedin.com/jobs/view/4447219331/</t>
  </si>
  <si>
    <t xml:space="preserve">AI Solutions Specialist</t>
  </si>
  <si>
    <t xml:space="preserve">NMS Market Research Czech</t>
  </si>
  <si>
    <t xml:space="preserve">LinkedIn location field: Prague 5, Czechia  |  Prague 5, Czechia</t>
  </si>
  <si>
    <t xml:space="preserve">2 hours ago, be an early applicant</t>
  </si>
  <si>
    <t xml:space="preserve">https://www.linkedin.com/jobs/view/4450238978/</t>
  </si>
  <si>
    <t xml:space="preserve">AI and Automation Engineer</t>
  </si>
  <si>
    <t xml:space="preserve">Spandex Italia</t>
  </si>
  <si>
    <t xml:space="preserve">LinkedIn location field: Bologna, Emilia-Romagna, Italy  |  Bologna, Emilia-Romagna, Italy</t>
  </si>
  <si>
    <t xml:space="preserve">https://www.linkedin.com/jobs/view/4438594658/</t>
  </si>
  <si>
    <t xml:space="preserve">Ideofarm</t>
  </si>
  <si>
    <t xml:space="preserve">LinkedIn location field: Florence, Tuscany, Italy  |  Florence, Tuscany, Italy</t>
  </si>
  <si>
    <t xml:space="preserve">https://www.linkedin.com/jobs/view/4431221667/</t>
  </si>
  <si>
    <t xml:space="preserve">Generali Italia</t>
  </si>
  <si>
    <t xml:space="preserve">https://www.linkedin.com/jobs/view/4437819726/</t>
  </si>
  <si>
    <t xml:space="preserve">BDO Italia</t>
  </si>
  <si>
    <t xml:space="preserve">https://www.linkedin.com/jobs/view/4442864790/</t>
  </si>
  <si>
    <t xml:space="preserve">AI Workflow and Agent Builder</t>
  </si>
  <si>
    <t xml:space="preserve">Unobravo</t>
  </si>
  <si>
    <t xml:space="preserve">AI Workflow and Agent Builder is close to a literal description of what he does in n8n. Unobravo is a large Italian online therapy platform, so the product is workflow-shaped.</t>
  </si>
  <si>
    <t xml:space="preserve">https://www.linkedin.com/jobs/view/4445925920/</t>
  </si>
  <si>
    <t xml:space="preserve">Selection 4.0 SA</t>
  </si>
  <si>
    <t xml:space="preserve">https://www.linkedin.com/jobs/view/4444437033/</t>
  </si>
  <si>
    <t xml:space="preserve">Automation Specialist</t>
  </si>
  <si>
    <t xml:space="preserve">Stanhome Italia</t>
  </si>
  <si>
    <t xml:space="preserve">https://www.linkedin.com/jobs/view/4439027450/</t>
  </si>
  <si>
    <t xml:space="preserve">Experienced, Agentic GenAI and Hyper-Automation</t>
  </si>
  <si>
    <t xml:space="preserve">Deloitte (Milan)</t>
  </si>
  <si>
    <t xml:space="preserve">Hyper-automation is the consultancy term for what he builds.</t>
  </si>
  <si>
    <t xml:space="preserve">https://www.linkedin.com/jobs/view/4446033941/</t>
  </si>
  <si>
    <t xml:space="preserve">Bonatti</t>
  </si>
  <si>
    <t xml:space="preserve">LinkedIn location field: Parma, Emilia-Romagna, Italy  |  Parma, Emilia-Romagna, Italy</t>
  </si>
  <si>
    <t xml:space="preserve">https://www.linkedin.com/jobs/view/4441822374/</t>
  </si>
  <si>
    <t xml:space="preserve">Agentic AI Productivity Specialist</t>
  </si>
  <si>
    <t xml:space="preserve">Lavazza Group</t>
  </si>
  <si>
    <t xml:space="preserve">LinkedIn location field: Turin, Piedmont, Italy  |  Turin, Piedmont, Italy</t>
  </si>
  <si>
    <t xml:space="preserve">Internal AI productivity at a household-name Italian company.</t>
  </si>
  <si>
    <t xml:space="preserve">https://www.linkedin.com/jobs/view/4445374311/</t>
  </si>
  <si>
    <t xml:space="preserve">AGM SOLUTIONS</t>
  </si>
  <si>
    <t xml:space="preserve">https://www.linkedin.com/jobs/view/4444963461/</t>
  </si>
  <si>
    <t xml:space="preserve">EPICODE Institute of Technology</t>
  </si>
  <si>
    <t xml:space="preserve">LinkedIn location field: Greater Rome, Italy  |  Greater Rome, Italy</t>
  </si>
  <si>
    <t xml:space="preserve">https://www.linkedin.com/jobs/view/4448896595/</t>
  </si>
  <si>
    <t xml:space="preserve">Developer AI</t>
  </si>
  <si>
    <t xml:space="preserve">agap2 Italia</t>
  </si>
  <si>
    <t xml:space="preserve">https://www.linkedin.com/jobs/view/4444541367/</t>
  </si>
  <si>
    <t xml:space="preserve">RPA Developer (UiPath or Power Automate)</t>
  </si>
  <si>
    <t xml:space="preserve">Code Generations</t>
  </si>
  <si>
    <t xml:space="preserve">LinkedIn location field: Greater Milan, Italy  |  Greater Milan, Italy</t>
  </si>
  <si>
    <t xml:space="preserve">Power Automate is named, which he is certified in. UiPath he is not.</t>
  </si>
  <si>
    <t xml:space="preserve">https://www.linkedin.com/jobs/view/4449461841/</t>
  </si>
  <si>
    <t xml:space="preserve">TXT GROUP</t>
  </si>
  <si>
    <t xml:space="preserve">LinkedIn location field: Cologno Monzese, Lombardy, Italy  |  Cologno Monzese, Lombardy, Italy</t>
  </si>
  <si>
    <t xml:space="preserve">https://www.linkedin.com/jobs/view/4442629022/</t>
  </si>
  <si>
    <t xml:space="preserve">IT and Process Automation Specialist</t>
  </si>
  <si>
    <t xml:space="preserve">Newatt srl</t>
  </si>
  <si>
    <t xml:space="preserve">LinkedIn location field: Vezza d'Alba, Piedmont, Italy  |  Vezza d'Alba, Piedmont, Italy</t>
  </si>
  <si>
    <t xml:space="preserve">https://www.linkedin.com/jobs/view/4445909297/</t>
  </si>
  <si>
    <t xml:space="preserve">Teoresi Group</t>
  </si>
  <si>
    <t xml:space="preserve">LinkedIn location field: Modena, Emilia-Romagna, Italy  |  Modena, Emilia-Romagna, Italy</t>
  </si>
  <si>
    <t xml:space="preserve">https://www.linkedin.com/jobs/view/4431938372/</t>
  </si>
  <si>
    <t xml:space="preserve">Brightstar Italia</t>
  </si>
  <si>
    <t xml:space="preserve">https://www.linkedin.com/jobs/view/4437995961/</t>
  </si>
  <si>
    <t xml:space="preserve">KeyBiz</t>
  </si>
  <si>
    <t xml:space="preserve">https://www.linkedin.com/jobs/view/4447574100/</t>
  </si>
  <si>
    <t xml:space="preserve">GEN AI ENGINEER</t>
  </si>
  <si>
    <t xml:space="preserve">Kirey (Rome)</t>
  </si>
  <si>
    <t xml:space="preserve">https://www.linkedin.com/jobs/view/4446353743/</t>
  </si>
  <si>
    <t xml:space="preserve">AI ENGINEER, Rif.G20AIE</t>
  </si>
  <si>
    <t xml:space="preserve">ACTION ICT</t>
  </si>
  <si>
    <t xml:space="preserve">https://www.linkedin.com/jobs/view/4440161748/</t>
  </si>
  <si>
    <t xml:space="preserve">Italgas</t>
  </si>
  <si>
    <t xml:space="preserve">Indeed location field: Milan, Lombardy, Italy  |  Milan, Lombardy, Italy</t>
  </si>
  <si>
    <t xml:space="preserve">Surfaced by an Indeed Italy keyword search on n8n, automation engineer and AI engineer.</t>
  </si>
  <si>
    <t xml:space="preserve">https://it.indeed.com/viewjob?jk=67cafa8f40dbd2fc</t>
  </si>
  <si>
    <t xml:space="preserve">Axmed</t>
  </si>
  <si>
    <t xml:space="preserve">Must already have the legal right to work in the country where based. Visa sponsorship and relocation support are not available.  |  Spain, remote</t>
  </si>
  <si>
    <t xml:space="preserve">not stated, Spanish not listed as a requirement</t>
  </si>
  <si>
    <t xml:space="preserve">refreshed 6 Aug 2026</t>
  </si>
  <si>
    <t xml:space="preserve">Mid-level AI engineer building LLM applications. Named stack is Python and cloud.</t>
  </si>
  <si>
    <t xml:space="preserve">Python-centric and he is not a deep Python backend engineer, so a partial match at best. No relocation support, so he must already be resident in Spain.</t>
  </si>
  <si>
    <t xml:space="preserve">https://axmed.teamtailor.com/jobs/8175859-ai-engineer</t>
  </si>
  <si>
    <t xml:space="preserve">medium - A rendered aggregator shows the full job body including the verbatim eligibility line and this Teamtailor apply URL. The Teamtailor page itself could not be opened.</t>
  </si>
  <si>
    <t xml:space="preserve">Forward Deployed Software Engineer - EU</t>
  </si>
  <si>
    <t xml:space="preserve">Outset</t>
  </si>
  <si>
    <t xml:space="preserve">Must address whether sponsorship or a work permit will be required to work in the EU  |  Europe, remote</t>
  </si>
  <si>
    <t xml:space="preserve">USD 180,000 to 240,000 a year</t>
  </si>
  <si>
    <t xml:space="preserve">JavaScript, TypeScript, React, Next.js, Python, Django, GraphQL, PostgreSQL, AWS. Forward-deployed means customer-facing build work, which suits his solutions-plus-product profile.</t>
  </si>
  <si>
    <t xml:space="preserve">Asks 5+ years and the pay band is US-calibrated, so the bar is well above his level. Stretch only. The eligibility line is favourable since he needs no EU sponsorship.</t>
  </si>
  <si>
    <t xml:space="preserve">https://jobs.ashbyhq.com/outset/ef882074-b4bd-4e7e-b0ab-325e3c5c6a93</t>
  </si>
  <si>
    <t xml:space="preserve">medium - A rendered aggregator shows the full job body, salary band and posted date, and gives this Ashby apply URL. The Ashby page itself was not opened.</t>
  </si>
  <si>
    <t xml:space="preserve">Pandata</t>
  </si>
  <si>
    <t xml:space="preserve">English required, German is not mentioned as a requirement</t>
  </si>
  <si>
    <t xml:space="preserve">TypeScript, Next.js, Node.js, Electron, PostgreSQL, Supabase, GCP Cloud Run, Vercel. The closest single stack match in the whole sweep to his FlowSpace build.</t>
  </si>
  <si>
    <t xml:space="preserve">Years of experience not stated, so the level is unknown. Electron desktop work is new to him. Berlin office role, so relocation or a remote-within-Germany arrangement would need negotiating.</t>
  </si>
  <si>
    <t xml:space="preserve">https://berlinstartupjobs.com/engineering/full-stack-developer-pandata-gmbh/</t>
  </si>
  <si>
    <t xml:space="preserve">medium - berlinstartupjobs rendered the full posting with the stack list and an apply link to pandata.de. The pandata.de page itself could not be fetched.</t>
  </si>
  <si>
    <t xml:space="preserve">Revenue Operations Specialist</t>
  </si>
  <si>
    <t xml:space="preserve">RemoFirst</t>
  </si>
  <si>
    <t xml:space="preserve">Portugal, South Africa, +4 more countries - Remote  |  Remote, multi-country including Portugal</t>
  </si>
  <si>
    <t xml:space="preserve">HubSpot CRM, PandaDoc, Apollo, BI tools. Apollo ties to his outbound work.</t>
  </si>
  <si>
    <t xml:space="preserve">The four unnamed extra countries are not disclosed, so whether Italy qualifies is unverified. Specialist RevOps rather than an engineering build role.</t>
  </si>
  <si>
    <t xml:space="preserve">https://apply.workable.com/remofirst/j/CB946C18D3</t>
  </si>
  <si>
    <t xml:space="preserve">low - apply.workable.com is client-rendered. Only page metadata resolved, confirming the requisition exists. Country list came from an aggregator.</t>
  </si>
  <si>
    <t xml:space="preserve">Technical Support Specialist - EMEA and US hours</t>
  </si>
  <si>
    <t xml:space="preserve">Bloomreach (support req)</t>
  </si>
  <si>
    <t xml:space="preserve">We offer remote work from Czechia or Slovakia, with optional office space in Bratislava, Brno, or Prague.  |  Remote from Czechia or Slovakia</t>
  </si>
  <si>
    <t xml:space="preserve">Fluency in English, with strong written and verbal communication skills</t>
  </si>
  <si>
    <t xml:space="preserve">CZK 540,000 to 600,000 a year, roughly EUR 21,500 to 24,000, below his target</t>
  </si>
  <si>
    <t xml:space="preserve">1 to 3 years in technical support or customer success, SaaS and web troubleshooting, ticketing with SLAs, CRM and campaign tooling. Matches his support agent and documentation work.</t>
  </si>
  <si>
    <t xml:space="preserve">Requires residence in Czechia or Slovakia, so relocation plus a local permit. Covers US hours as well as EMEA. Pay below target.</t>
  </si>
  <si>
    <t xml:space="preserve">https://job-boards.greenhouse.io/bloomreach/jobs/5779409</t>
  </si>
  <si>
    <t xml:space="preserve">high - Greenhouse rendered the title, the verbatim remote work sentence, the CZK band and a full apply form. The board feed labels it Associate Product Support Specialist but the live page title is as given.</t>
  </si>
  <si>
    <t xml:space="preserve">LLM Engineer - Freelancer</t>
  </si>
  <si>
    <t xml:space="preserve">Monterail</t>
  </si>
  <si>
    <t xml:space="preserve">https://jobs.workable.com/view/cB3gEgQkRU86js7TdJ98fJ/remote-llm-engineer---freelancer-in-warsaw-at-monterail</t>
  </si>
  <si>
    <t xml:space="preserve">AI Automation Engineer, In-House MarTech Video SaaS</t>
  </si>
  <si>
    <t xml:space="preserve">Vidalytics</t>
  </si>
  <si>
    <t xml:space="preserve">https://weworkremotely.com/remote-jobs/vidalytics-ai-automation-engineer-in-house-martech-video-saas</t>
  </si>
  <si>
    <t xml:space="preserve">Tandem Health</t>
  </si>
  <si>
    <t xml:space="preserve">https://jobs.ashbyhq.com/tandem-health/583fef4f-4417-40d9-a87e-e405180f71ce</t>
  </si>
  <si>
    <t xml:space="preserve">Software Engineer, PHP - AI Training (Freelance, Remote)</t>
  </si>
  <si>
    <t xml:space="preserve">Alignerr</t>
  </si>
  <si>
    <t xml:space="preserve">https://job-boards.greenhouse.io/alignerr/jobs/4714343007</t>
  </si>
  <si>
    <t xml:space="preserve">Full Stack Engineer</t>
  </si>
  <si>
    <t xml:space="preserve">Sortitt</t>
  </si>
  <si>
    <t xml:space="preserve">https://himalayas.app/companies/sortitt/jobs/full-stack-engineer</t>
  </si>
  <si>
    <t xml:space="preserve">Software Engineer (AI Products)</t>
  </si>
  <si>
    <t xml:space="preserve">Oxylabs</t>
  </si>
  <si>
    <t xml:space="preserve">Vilnius  |  Lithuania, Vilnius, hybrid</t>
  </si>
  <si>
    <t xml:space="preserve">No Lithuanian requirement stated</t>
  </si>
  <si>
    <t xml:space="preserve">EUR 3,200 to 5,600 a month, open to negotiation, roughly EUR 38k to 67k a year</t>
  </si>
  <si>
    <t xml:space="preserve">about 27 Jul 2026</t>
  </si>
  <si>
    <t xml:space="preserve">LLM APIs (OpenAI, Anthropic), vector databases, Docker, REST. Asks 2+ years, which sits under his 3.</t>
  </si>
  <si>
    <t xml:space="preserve">Python is the named backend language and Kafka and Kubernetes are both in the requirements, all three on his gap list. Vilnius hybrid means relocating.</t>
  </si>
  <si>
    <t xml:space="preserve">https://jobs.lever.co/oxylabs/8682b06a-c455-406f-ab50-65ce4c3ce318</t>
  </si>
  <si>
    <t xml:space="preserve">high - Rendered Lever page shows the single posting, the Vilnius line, the monthly EUR band, 2+ years and a working apply button.</t>
  </si>
  <si>
    <t xml:space="preserve">VFX Financial</t>
  </si>
  <si>
    <t xml:space="preserve">Portugal only  |  Portugal, hybrid in Portimao or fully remote within Portugal</t>
  </si>
  <si>
    <t xml:space="preserve">Strong written English for documentation, runbooks and stakeholder communication</t>
  </si>
  <si>
    <t xml:space="preserve">20 Jul 2026, deadline 18 Sep 2026</t>
  </si>
  <si>
    <t xml:space="preserve">Power Automate, OpenAI API, Claude API, Microsoft 365, API integration, LLM-powered workflows, agentic AI patterns</t>
  </si>
  <si>
    <t xml:space="preserve">Python is a listed core skill and Azure plus Azure OpenAI are core. Asks 3 to 6 years, he is at 3. Portugal residence needed.</t>
  </si>
  <si>
    <t xml:space="preserve">https://himalayas.app/companies/vfx-financial/jobs/ai-automation-engineer</t>
  </si>
  <si>
    <t xml:space="preserve">medium - Himalayas rendered title, Portugal only, hybrid detail, skills list, English line and apply path.</t>
  </si>
  <si>
    <t xml:space="preserve">Technical Account Manager - RTB</t>
  </si>
  <si>
    <t xml:space="preserve">MGID</t>
  </si>
  <si>
    <t xml:space="preserve">not stated  |  Ukraine and Poland, remote. Poland is the EU-eligible option.</t>
  </si>
  <si>
    <t xml:space="preserve">Intermediate English level (B1 or higher). No local language stated.</t>
  </si>
  <si>
    <t xml:space="preserve">SQL, GET and POST requests, Postman, Chrome DevTools, terminal tooling, HTML5, CSS3, JavaScript, MongoDB. Maps closely onto his REST, webhook and debugging work and the client-facing troubleshooting he did at FlowSpace.</t>
  </si>
  <si>
    <t xml:space="preserve">Adtech RTB domain is new. Ukraine is the primary listed location, so confirm Poland is genuinely open and whether they will contract someone resident in Italy. MongoDB not in his stack.</t>
  </si>
  <si>
    <t xml:space="preserve">https://mgid.recruitee.com/o/technical-account-manager-rtb-1</t>
  </si>
  <si>
    <t xml:space="preserve">low - mgid.recruitee.com would not open in this session. All details came from a rendered aggregator mirror.</t>
  </si>
  <si>
    <t xml:space="preserve">Full Stack Software Development Engineer React / Node.js</t>
  </si>
  <si>
    <t xml:space="preserve">Launchmetrics</t>
  </si>
  <si>
    <t xml:space="preserve">applicants must be based in Spain or Italy and have a work permit to be considered  |  Girona, Madrid, Milan, fully remote, must be based in Spain or Italy</t>
  </si>
  <si>
    <t xml:space="preserve">you speak, read, and write English fluently. No Italian or Spanish requirement stated.</t>
  </si>
  <si>
    <t xml:space="preserve">23 Jul 2026</t>
  </si>
  <si>
    <t xml:space="preserve">React, Node.js, TypeScript, Express.js, MySQL, Redis, REST, Jest. Asks minimum 2 years full-stack SaaS and minimum 2 years JavaScript or TypeScript, which matches his 3 years.</t>
  </si>
  <si>
    <t xml:space="preserve">Python and Java also appear in the stack list. AWS Lambda and ECS plus Databricks exposure expected. Salary not published.</t>
  </si>
  <si>
    <t xml:space="preserve">https://careers.launchmetrics.com/jobs/8102801-full-stack-software-development-engineer-react-node-js</t>
  </si>
  <si>
    <t xml:space="preserve">high - Fetched the Teamtailor careers page directly. Rendered body shows this exact title, the Spain or Italy work-permit sentence and an Apply for this job button.</t>
  </si>
  <si>
    <t xml:space="preserve">Full Stack Software Development Engineer PHP/React</t>
  </si>
  <si>
    <t xml:space="preserve">Launchmetrics (PHP req)</t>
  </si>
  <si>
    <t xml:space="preserve">applicants must be based in Spain, Italy, France or Romania and have a work permit to be considered  |  Fully remote or hybrid, must be based in Spain, Italy, France or Romania</t>
  </si>
  <si>
    <t xml:space="preserve">you speak, read, and write English fluently. No local language requirement stated.</t>
  </si>
  <si>
    <t xml:space="preserve">PHP 8+, Laravel, React, TypeScript, JavaScript, MySQL 8+, AWS, Jest, PHPUnit. Claude Code is named explicitly in the tooling, matching his daily coding-agent use.</t>
  </si>
  <si>
    <t xml:space="preserve">Asks minimum 5 years full-stack SaaS versus his 3. Doctrine sits alongside Laravel. Storybook and build-tooling depth expected.</t>
  </si>
  <si>
    <t xml:space="preserve">https://careers.launchmetrics.com/jobs/8072383-full-stack-software-development-engineer-php-react</t>
  </si>
  <si>
    <t xml:space="preserve">high - Rendered body shows the exact title, the four-country work-permit sentence and an Apply for this job button.</t>
  </si>
  <si>
    <t xml:space="preserve">Frontend Engineer</t>
  </si>
  <si>
    <t xml:space="preserve">Undisclosed employer via Jobgether (frontend req)</t>
  </si>
  <si>
    <t xml:space="preserve">Strong communication skills and fluency in English, both written and spoken</t>
  </si>
  <si>
    <t xml:space="preserve">React, TypeScript, production-grade web applications, Jest or Playwright. Matches his Next.js, React and TypeScript build-out and the Bubble.io migration.</t>
  </si>
  <si>
    <t xml:space="preserve">English fluency stated explicitly and Italian not mentioned, a clean pass. But it requires 5+ years of professional frontend experience with JavaScript and React against his 3, so a reach. GraphQL required and he has none. A B2B contract arrangement. Employer hidden.</t>
  </si>
  <si>
    <t xml:space="preserve">https://jobs.lever.co/jobgether/2875aa8f-2aaa-495a-a70b-d2dcc0355218</t>
  </si>
  <si>
    <t xml:space="preserve">high - Rendered Lever page confirmed a single live posting titled Frontend Engineer, location Italy, with the English fluency line and an apply button.</t>
  </si>
  <si>
    <t xml:space="preserve">Technical Support Engineer - Amsterdam</t>
  </si>
  <si>
    <t xml:space="preserve">Orb</t>
  </si>
  <si>
    <t xml:space="preserve">https://jobs.ashbyhq.com/orb/3197e844-cf70-47b2-9a90-df64393e9e5b</t>
  </si>
  <si>
    <t xml:space="preserve">AI Transformation Lead</t>
  </si>
  <si>
    <t xml:space="preserve">Valsea Technology</t>
  </si>
  <si>
    <t xml:space="preserve">https://valsea.teamtailor.com/jobs/7743448-ai-transformation-lead</t>
  </si>
  <si>
    <t xml:space="preserve">Content Automation Specialist</t>
  </si>
  <si>
    <t xml:space="preserve">Catena Media</t>
  </si>
  <si>
    <t xml:space="preserve">LinkedIn location field: Sliema, Malta  |  Sliema, Malta</t>
  </si>
  <si>
    <t xml:space="preserve">English is an official language in Malta</t>
  </si>
  <si>
    <t xml:space="preserve">Malta is English-working, which is rare and useful. Content automation at an affiliate-marketing group.</t>
  </si>
  <si>
    <t xml:space="preserve">https://www.linkedin.com/jobs/view/4435906115/</t>
  </si>
  <si>
    <t xml:space="preserve">Forward Deployed Engineer (m/w/d)</t>
  </si>
  <si>
    <t xml:space="preserve">Vogel Beratung (FDE req)</t>
  </si>
  <si>
    <t xml:space="preserve">4 hours ago</t>
  </si>
  <si>
    <t xml:space="preserve">Forward deployed is one of his best-matching title families.</t>
  </si>
  <si>
    <t xml:space="preserve">https://www.linkedin.com/jobs/view/4440970395/</t>
  </si>
  <si>
    <t xml:space="preserve">Forward Deployed Automation Engineer</t>
  </si>
  <si>
    <t xml:space="preserve">TELUS Digital (FDE req)</t>
  </si>
  <si>
    <t xml:space="preserve">Forward deployed plus automation in one title, which is the single best title match for him anywhere on this list.</t>
  </si>
  <si>
    <t xml:space="preserve">https://www.linkedin.com/jobs/view/4446928967/</t>
  </si>
  <si>
    <t xml:space="preserve">Founder's Associate (Operations and Automation)</t>
  </si>
  <si>
    <t xml:space="preserve">Spotwise.ai</t>
  </si>
  <si>
    <t xml:space="preserve">LinkedIn location field: Riga, Latvia  |  Riga, Latvia</t>
  </si>
  <si>
    <t xml:space="preserve">23 hours ago, be an early applicant</t>
  </si>
  <si>
    <t xml:space="preserve">Founder's associate on operations and automation is a generalist seat that suits his build-and-own shape.</t>
  </si>
  <si>
    <t xml:space="preserve">https://www.linkedin.com/jobs/view/4448047301/</t>
  </si>
  <si>
    <t xml:space="preserve">Jobgether (Portugal client)</t>
  </si>
  <si>
    <t xml:space="preserve">LinkedIn location field: Portugal  |  Portugal</t>
  </si>
  <si>
    <t xml:space="preserve">Jobgether screens for an undisclosed client, so expect an extra filter layer.</t>
  </si>
  <si>
    <t xml:space="preserve">https://www.linkedin.com/jobs/view/4447977775/</t>
  </si>
  <si>
    <t xml:space="preserve">Junior Business Automation and AI Manager (all genders)</t>
  </si>
  <si>
    <t xml:space="preserve">Wemolo</t>
  </si>
  <si>
    <t xml:space="preserve">Junior banding, which is unusually accessible for this title family.</t>
  </si>
  <si>
    <t xml:space="preserve">https://www.linkedin.com/jobs/view/4449635371/</t>
  </si>
  <si>
    <t xml:space="preserve">Junior AI Automation Engineer</t>
  </si>
  <si>
    <t xml:space="preserve">IMMIGRANT INVEST</t>
  </si>
  <si>
    <t xml:space="preserve">LinkedIn location field: Poland  |  Poland</t>
  </si>
  <si>
    <t xml:space="preserve">Junior banding.</t>
  </si>
  <si>
    <t xml:space="preserve">https://www.linkedin.com/jobs/view/4447996582/</t>
  </si>
  <si>
    <t xml:space="preserve">AI Automation Engineer [RAL fino a 45k]</t>
  </si>
  <si>
    <t xml:space="preserve">Datapizza</t>
  </si>
  <si>
    <t xml:space="preserve">LinkedIn location field: Monza, Lombardy, Italy  |  Monza, Lombardy, Italy</t>
  </si>
  <si>
    <t xml:space="preserve">The listing publishes a salary of up to EUR 45,000, above his target band. Datapizza is a well-known Italian tech community and recruiter.</t>
  </si>
  <si>
    <t xml:space="preserve">https://www.linkedin.com/jobs/view/4448883625/</t>
  </si>
  <si>
    <t xml:space="preserve">AI Specialist and Automazione dei Processi</t>
  </si>
  <si>
    <t xml:space="preserve">P4I, Digital360 Advisory</t>
  </si>
  <si>
    <t xml:space="preserve">Title is partly in Italian, so Italian is near-certain.</t>
  </si>
  <si>
    <t xml:space="preserve">https://www.linkedin.com/jobs/view/4443284894/</t>
  </si>
  <si>
    <t xml:space="preserve">AI Forward Deployed Engineer</t>
  </si>
  <si>
    <t xml:space="preserve">Devoteam</t>
  </si>
  <si>
    <t xml:space="preserve">Forward deployed plus AI at a large European consultancy. One of the best title matches in the Italian set.</t>
  </si>
  <si>
    <t xml:space="preserve">https://www.linkedin.com/jobs/view/4446991563/</t>
  </si>
  <si>
    <t xml:space="preserve">UMANA SPA</t>
  </si>
  <si>
    <t xml:space="preserve">LinkedIn location field: Pordenone, Friuli-Venezia Giulia, Italy  |  Pordenone, Friuli-Venezia Giulia, Italy</t>
  </si>
  <si>
    <t xml:space="preserve">Pordenone is about 90 minutes from Venice. Umana is a staffing agency, so the end employer is unnamed.</t>
  </si>
  <si>
    <t xml:space="preserve">https://www.linkedin.com/jobs/view/4445097573/</t>
  </si>
  <si>
    <t xml:space="preserve">Generative AI Expert for Verification Automation</t>
  </si>
  <si>
    <t xml:space="preserve">STMicroelectronics Italia</t>
  </si>
  <si>
    <t xml:space="preserve">LinkedIn location field: Agrate Brianza, Lombardy, Italy  |  Agrate Brianza, Lombardy, Italy</t>
  </si>
  <si>
    <t xml:space="preserve">Hardware verification domain, likely a poor fit despite the automation wording.</t>
  </si>
  <si>
    <t xml:space="preserve">https://www.linkedin.com/jobs/view/4445643134/</t>
  </si>
  <si>
    <t xml:space="preserve">Senior Fullstack Engineer - PHP/Laravel</t>
  </si>
  <si>
    <t xml:space="preserve">Ultimate Jet Vacations</t>
  </si>
  <si>
    <t xml:space="preserve">Worldwide  |  Remote worldwide. The posting notes contractors outside the US are engaged under independent contractor agreements.</t>
  </si>
  <si>
    <t xml:space="preserve">21 Jul 2026</t>
  </si>
  <si>
    <t xml:space="preserve">PHP, Laravel, React, Next.js, MySQL, Tailwind, Docker, REST. Laravel plus Next.js in one role is an unusually exact match to his FlowSpace migration.</t>
  </si>
  <si>
    <t xml:space="preserve">Asks 5 to 7 years versus his 3. LatAm-based candidates are welcomed, which points at Americas hours. NestJS and AWS ECS depth expected. No day rate stated.</t>
  </si>
  <si>
    <t xml:space="preserve">https://euremotejobs.com/job/senior-fullstack-engineer-php-laravel/</t>
  </si>
  <si>
    <t xml:space="preserve">medium - euremotejobs rendered the exact title, company, contractor note and a Rippling ATS apply link.</t>
  </si>
  <si>
    <t xml:space="preserve">Full Stack Developer, Javascript</t>
  </si>
  <si>
    <t xml:space="preserve">Codekeeper (engineering req)</t>
  </si>
  <si>
    <t xml:space="preserve">not stated  |  Netherlands, remote</t>
  </si>
  <si>
    <t xml:space="preserve">not stated, Dutch is not listed as a requirement</t>
  </si>
  <si>
    <t xml:space="preserve">about 2 Aug 2026</t>
  </si>
  <si>
    <t xml:space="preserve">JavaScript, TypeScript, React, Next.js App Router, GraphQL and Apollo, TailwindCSS, PostgreSQL, Prisma, Drizzle, Auth0 and NextAuth, Playwright and Jest. Very close to his front-end and Next.js work.</t>
  </si>
  <si>
    <t xml:space="preserve">Asks 5+ years in JS, TS and React and 3+ years with Next.js and GraphQL, clearly above his 3 years. Working language not stated. GraphQL and Apollo are not on his CV.</t>
  </si>
  <si>
    <t xml:space="preserve">https://codekeeper.applytojob.com/apply/qtxlu2ygms/full-stack-developer-javascript</t>
  </si>
  <si>
    <t xml:space="preserve">medium - A rendered aggregator shows the full job body and gives this employer apply URL. The employer ATS page was not separately opened.</t>
  </si>
  <si>
    <t xml:space="preserve">Marketing Operations Specialist</t>
  </si>
  <si>
    <t xml:space="preserve">Codekeeper</t>
  </si>
  <si>
    <t xml:space="preserve">Europe - Remote  |  Remote Europe</t>
  </si>
  <si>
    <t xml:space="preserve">Proficiency in English, written and verbal</t>
  </si>
  <si>
    <t xml:space="preserve">1 Aug 2026</t>
  </si>
  <si>
    <t xml:space="preserve">HubSpot and Figma named as prerequisites, marketing operations ownership</t>
  </si>
  <si>
    <t xml:space="preserve">Figma is a stated prerequisite and is not on his stack. No pay. Remote-Europe scope is not spelled out country by country.</t>
  </si>
  <si>
    <t xml:space="preserve">https://codekeeper.applytojob.com/apply/l5nagz7rkv/marketing-operations-specialist</t>
  </si>
  <si>
    <t xml:space="preserve">low - applytojob.com would not open in this session, so body text is unconfirmed. Details came from a rendered aggregator page.</t>
  </si>
  <si>
    <t xml:space="preserve">Business Analyst (middle/senior)</t>
  </si>
  <si>
    <t xml:space="preserve">Undisclosed employer via Jobgether (BA req)</t>
  </si>
  <si>
    <t xml:space="preserve">Bachelor's degree in Computer Science, Information Technology, Business Administration, Finance, or a related field  |  Italy, remote</t>
  </si>
  <si>
    <t xml:space="preserve">Upper-intermediate English proficiency or higher</t>
  </si>
  <si>
    <t xml:space="preserve">SQL, basic HTML, CSS and JavaScript, API integration support, requirements and user stories, Jira, Confluence, Miro and Figma. His product ownership plus integration work fits the technical-PM shape.</t>
  </si>
  <si>
    <t xml:space="preserve">The English requirement is stated and no Italian is mentioned, a clean pass. But it requires a bachelor's degree in a listed field, which is a hard gate. Fintech or SaaS domain preferred. Hours must align with CET, which suits Venice. Employer hidden.</t>
  </si>
  <si>
    <t xml:space="preserve">https://jobs.lever.co/jobgether/b8e4e97f-2d78-41a8-a179-110fc4ed6119</t>
  </si>
  <si>
    <t xml:space="preserve">high - Rendered Lever page confirmed a single live posting with the exact title, Italy remote location, the degree line, the English line and the CET clause.</t>
  </si>
  <si>
    <t xml:space="preserve">AI-Driven Digital Systems and Integration Manager (all gender)</t>
  </si>
  <si>
    <t xml:space="preserve">Aerofoils</t>
  </si>
  <si>
    <t xml:space="preserve">Remote, Weissdorf  |  Germany, Weissdorf in Upper Franconia, with a remote option</t>
  </si>
  <si>
    <t xml:space="preserve">The posting is written in English and no language requirement is stated anywhere in the body</t>
  </si>
  <si>
    <t xml:space="preserve">Strongest match in the enablement lane: n8n, Zapier and Make named explicitly, plus Shopify, HubSpot, Microsoft Dynamics 365 Business Central, SQL and BI. Exactly his no-code plus integration plus business-logic-documentation profile, applied to a manufacturer.</t>
  </si>
  <si>
    <t xml:space="preserve">A small manufacturer, so no in-house team to lean on and he would own the systems layer. Extensive experience in e-commerce platform administration is asked. No language line is stated but the head office is rural Bavaria, so confirm the day-to-day working language first.</t>
  </si>
  <si>
    <t xml:space="preserve">https://aerofoils-gmbh.jobs.personio.de/job/2424999?language=en</t>
  </si>
  <si>
    <t xml:space="preserve">high - Rendered body confirmed twice: title, employer description, full requirements, Full-time Permanent employee and an Apply for this job button appearing twice.</t>
  </si>
  <si>
    <t xml:space="preserve">Amplitude</t>
  </si>
  <si>
    <t xml:space="preserve">Amsterdam, The Netherlands  |  Netherlands, Amsterdam based</t>
  </si>
  <si>
    <t xml:space="preserve">English only stated, no Dutch requirement in the posting</t>
  </si>
  <si>
    <t xml:space="preserve">SDK and REST API troubleshooting, debugging customer integrations, ticketing in Zendesk, Intercom, Confluence and Linear, writing help content. Matches his API and webhook debugging plus his docs and runbook work.</t>
  </si>
  <si>
    <t xml:space="preserve">Amsterdam based rather than remote from Italy, so a move, and he must apply for a Dutch residence permit before starting. A bachelor's degree is referenced. Product analytics domain is new.</t>
  </si>
  <si>
    <t xml:space="preserve">https://job-boards.greenhouse.io/amplitude/jobs/8548089002</t>
  </si>
  <si>
    <t xml:space="preserve">high - Greenhouse rendered this exact title, the full description and a working application form with resume and cover letter fields.</t>
  </si>
  <si>
    <t xml:space="preserve">n8n Developer</t>
  </si>
  <si>
    <t xml:space="preserve">KDCI</t>
  </si>
  <si>
    <t xml:space="preserve">https://himalayas.app/companies/kdci/jobs/n8n-developer</t>
  </si>
  <si>
    <t xml:space="preserve">Full-Stack Developer (AI), Severa</t>
  </si>
  <si>
    <t xml:space="preserve">Visma Solutions Oy</t>
  </si>
  <si>
    <t xml:space="preserve">https://vismafinland.teamtailor.com/jobs/8013387-full-stack-developer-ai-severa</t>
  </si>
  <si>
    <t xml:space="preserve">(Senior) Agentic AI Developer</t>
  </si>
  <si>
    <t xml:space="preserve">BearingPoint</t>
  </si>
  <si>
    <t xml:space="preserve">https://bearingpointromania.teamtailor.com/jobs/8170303-senior-agentic-ai-developer</t>
  </si>
  <si>
    <t xml:space="preserve">Forward Deployed Engineer</t>
  </si>
  <si>
    <t xml:space="preserve">Kota</t>
  </si>
  <si>
    <t xml:space="preserve">https://jobs.ashbyhq.com/kota/cf1dc9c1-dcfb-48ff-aade-8b11c5180216</t>
  </si>
  <si>
    <t xml:space="preserve">Go To Market Operations Analyst</t>
  </si>
  <si>
    <t xml:space="preserve">QuickNode</t>
  </si>
  <si>
    <t xml:space="preserve">https://jobs.ashbyhq.com/quicknode/aa18b773-624e-4173-ab8c-fa534f3bab4b</t>
  </si>
  <si>
    <t xml:space="preserve">Junior AI Platform Engineer</t>
  </si>
  <si>
    <t xml:space="preserve">Rossum (junior req)</t>
  </si>
  <si>
    <t xml:space="preserve">Prague, Czech Republic  |  Czechia, Prague</t>
  </si>
  <si>
    <t xml:space="preserve">16 Jun 2026</t>
  </si>
  <si>
    <t xml:space="preserve">AI-first document automation platform, adjacent to his CV-parsing and document-extraction pipeline work</t>
  </si>
  <si>
    <t xml:space="preserve">Junior title, likely below his 3 years and below his pay target. Prague-based, so relocation. Rossum's engine is deep learning so Python is near-certain.</t>
  </si>
  <si>
    <t xml:space="preserve">https://jobs.ashbyhq.com/rossum.ai/ba7beef9-03ff-4624-9e03-d8d6ea593b64</t>
  </si>
  <si>
    <t xml:space="preserve">low - Ashby page renders only the JavaScript placeholder. Liveness comes from the Ashby posting API reporting isListed true and publishedAt 16 Jun 2026. Body text unread.</t>
  </si>
  <si>
    <t xml:space="preserve">AI Automation Team Lead (Remote, Contract)</t>
  </si>
  <si>
    <t xml:space="preserve">INFUSE</t>
  </si>
  <si>
    <t xml:space="preserve">28 Jul 2026, deadline 26 Sep 2026</t>
  </si>
  <si>
    <t xml:space="preserve">n8n, Zapier, no-code and low-code platforms, Claude and Gemini, data flow design, process redesign, stakeholder management</t>
  </si>
  <si>
    <t xml:space="preserve">Team lead managing 3 to 4 people, a stretch on 3 years. Python scripting and SQL are core and his Python is thin. Romania residence needed. Contract basis suits his day rate but no rate published.</t>
  </si>
  <si>
    <t xml:space="preserve">https://himalayas.app/companies/infuse/jobs/ai-automation-team-lead-remote-contract-2194443646</t>
  </si>
  <si>
    <t xml:space="preserve">medium - Himalayas rendered title, Romania only, contract type, skills and apply path.</t>
  </si>
  <si>
    <t xml:space="preserve">Full Stack AI Engineer</t>
  </si>
  <si>
    <t xml:space="preserve">Reveleer</t>
  </si>
  <si>
    <t xml:space="preserve">https://weworkremotely.com/remote-jobs/reveleer-full-stack-ai-engineer</t>
  </si>
  <si>
    <t xml:space="preserve">Software Engineer | Propr.xyz</t>
  </si>
  <si>
    <t xml:space="preserve">SwissBorg</t>
  </si>
  <si>
    <t xml:space="preserve">https://himalayas.app/companies/swissborg/jobs/software-engineer-propr-xyz</t>
  </si>
  <si>
    <t xml:space="preserve">Founding AI Engineer</t>
  </si>
  <si>
    <t xml:space="preserve">Helloprint</t>
  </si>
  <si>
    <t xml:space="preserve">https://helloprint.recruitee.com/o/founding-ai-engineer</t>
  </si>
  <si>
    <t xml:space="preserve">Coders - AI Training (Freelance, Remote)</t>
  </si>
  <si>
    <t xml:space="preserve">https://job-boards.greenhouse.io/alignerr/jobs/4362423007</t>
  </si>
  <si>
    <t xml:space="preserve">AI &amp; Automation Transformation Engineer</t>
  </si>
  <si>
    <t xml:space="preserve">Mintos</t>
  </si>
  <si>
    <t xml:space="preserve">https://mintos.teamtailor.com/jobs/7738030-ai-automation-transformation-engineer</t>
  </si>
  <si>
    <t xml:space="preserve">Senior IT and Automation Engineer (f/m/d)</t>
  </si>
  <si>
    <t xml:space="preserve">Upvest</t>
  </si>
  <si>
    <t xml:space="preserve">not stated  |  Berlin, London or Tallinn, hybrid or remotely across Europe, with the option to work remotely abroad for up to 183 days a year</t>
  </si>
  <si>
    <t xml:space="preserve">not stated, the posting is English only</t>
  </si>
  <si>
    <t xml:space="preserve">Okta, Okta Workflows, n8n, Tines, Make, Google Workspace, macOS and Apple MDM. Preferred: Git, GitHub Actions, Terraform, Golang, Python, Docker, Kubernetes</t>
  </si>
  <si>
    <t xml:space="preserve">The body says verbatim: proven experience building and maintaining automations using tools like Okta Workflows, n8n, Tines, Make or similar. That is exactly him. Titled Senior. Terraform, Go and Kubernetes are preferred not required, but Apple device management is a hard ask he lacks.</t>
  </si>
  <si>
    <t xml:space="preserve">https://jobs.ashbyhq.com/upvest/15f04024-1155-4c45-8bc8-40f5ba4cb4e0</t>
  </si>
  <si>
    <t xml:space="preserve">high - Ashby page returned rendered body text: locations, required and preferred stack, and the n8n and Make automation requirement quoted directly off the page.</t>
  </si>
  <si>
    <t xml:space="preserve">AI Developer, Junior/Mid</t>
  </si>
  <si>
    <t xml:space="preserve">Etiqa</t>
  </si>
  <si>
    <t xml:space="preserve">not stated. An Italian firm, so Italian may be expected in practice.</t>
  </si>
  <si>
    <t xml:space="preserve">2 Apr 2026</t>
  </si>
  <si>
    <t xml:space="preserve">Python, React</t>
  </si>
  <si>
    <t xml:space="preserve">One of very few junior-to-mid labelled roles found anywhere, and Italy-remote. But the posting is four months old so confirm it is still open, and Python is the primary language.</t>
  </si>
  <si>
    <t xml:space="preserve">https://etiqa-srl.breezy.hr/p/f5bc746306c601-ai-developer-junior-mid-efficiently-lazy</t>
  </si>
  <si>
    <t xml:space="preserve">low - The Breezy page was blocked to the fetcher. Title, stack, contract type and date read from a rendered mirror only.</t>
  </si>
  <si>
    <t xml:space="preserve">Shopify Engineer</t>
  </si>
  <si>
    <t xml:space="preserve">Nebulab</t>
  </si>
  <si>
    <t xml:space="preserve">Italy only  |  Italy, remote</t>
  </si>
  <si>
    <t xml:space="preserve">not stated. Nebulab operates in English internally.</t>
  </si>
  <si>
    <t xml:space="preserve">JavaScript, React, GraphQL, Shopify Admin API, Hydrogen. Asks 3 years minimum, matching his level, and the API work matches his REST and webhook experience.</t>
  </si>
  <si>
    <t xml:space="preserve">Heavily Shopify and Liquid specialised, which he has not done. Ruby on Rails appears in the stack. No salary stated.</t>
  </si>
  <si>
    <t xml:space="preserve">https://himalayas.app/companies/nebulab-com/jobs/shopify-engineer</t>
  </si>
  <si>
    <t xml:space="preserve">medium - Himalayas rendered the exact title, Italy only, the 3-year bar and an apply path.</t>
  </si>
  <si>
    <t xml:space="preserve">Platform Operations Specialist</t>
  </si>
  <si>
    <t xml:space="preserve">LeadX Pro</t>
  </si>
  <si>
    <t xml:space="preserve">https://jobs.ashbyhq.com/LeadX-Pro/e7d047be-5c12-411f-806e-3a08d044dafa/application</t>
  </si>
  <si>
    <t xml:space="preserve">Reaktor</t>
  </si>
  <si>
    <t xml:space="preserve">https://jobs.ashbyhq.com/reaktor/0b3c4d59-67f8-48f3-a573-5d62b89620c4</t>
  </si>
  <si>
    <t xml:space="preserve">Full Stack AI Engineer (Remote in Ireland)</t>
  </si>
  <si>
    <t xml:space="preserve">Otonomee</t>
  </si>
  <si>
    <t xml:space="preserve">https://otonomee.jobs.personio.com/job/2656102</t>
  </si>
  <si>
    <t xml:space="preserve">Airtable Process Automation Expert</t>
  </si>
  <si>
    <t xml:space="preserve">https://weworkremotely.com/remote-jobs/toptal-airtable-process-automation-expert</t>
  </si>
  <si>
    <t xml:space="preserve">Senior Business Systems Analyst</t>
  </si>
  <si>
    <t xml:space="preserve">JetBrains</t>
  </si>
  <si>
    <t xml:space="preserve">If you are not based in one of the locations above, we'd be happy to talk through relocation possibilities with you.  |  Amsterdam, Belgrade, Berlin, Limassol, Munich, Paphos, Prague, Warsaw, Yerevan</t>
  </si>
  <si>
    <t xml:space="preserve">Internal business systems, SQL listed as a plus, ability to read code</t>
  </si>
  <si>
    <t xml:space="preserve">Analyst framing rather than build-heavy, and no remote-from-Italy option, so this is a relocation play to Amsterdam, Berlin, Munich, Prague, Warsaw or Limassol. All of those are EU states where his permit works without sponsorship.</t>
  </si>
  <si>
    <t xml:space="preserve">https://job-boards.greenhouse.io/jetbrains/jobs/4873487101</t>
  </si>
  <si>
    <t xml:space="preserve">high - Single Greenhouse posting, not a board index. Rendered page shows the one job title, the nine-location list, the relocation line and a full application form with a location-preference field.</t>
  </si>
  <si>
    <t xml:space="preserve">Senior Solutions Engineer (Presales), Fintech SaaS</t>
  </si>
  <si>
    <t xml:space="preserve">Basikon</t>
  </si>
  <si>
    <t xml:space="preserve">not stated  |  Paris, fully remote</t>
  </si>
  <si>
    <t xml:space="preserve">No French requirement stated, the posting is in English</t>
  </si>
  <si>
    <t xml:space="preserve">Low-code modular API-first lending and financing platform, API integrations, demo building, RFP responses</t>
  </si>
  <si>
    <t xml:space="preserve">Titled Senior against his 3 years. French HQ so French may be expected in practice despite not being stated. Low-code plus API-first suits someone who came from Bubble.io.</t>
  </si>
  <si>
    <t xml:space="preserve">https://www.welcometothejungle.com/en/companies/basikon/jobs/senior-solutions-engineer-presales-fintech-saas_paris</t>
  </si>
  <si>
    <t xml:space="preserve">high - Welcome to the Jungle rendered the full body, the four-step hiring process and an Apply button.</t>
  </si>
  <si>
    <t xml:space="preserve">Zauber Technology GmbH</t>
  </si>
  <si>
    <t xml:space="preserve">not stated  |  Europe and Asia, working with enterprise logistics customers</t>
  </si>
  <si>
    <t xml:space="preserve">AI tooling built directly with enterprise logistics customers, forward-deployed delivery</t>
  </si>
  <si>
    <t xml:space="preserve">A forward-deployed brief that matches how he works, but almost nothing about the role could be confirmed. Open it in a browser before spending time on it.</t>
  </si>
  <si>
    <t xml:space="preserve">https://jobs.ashbyhq.com/zauber/be28d274-8d61-43db-8dea-fe643ed69e0d</t>
  </si>
  <si>
    <t xml:space="preserve">low - Ashby page client-rendered. Only page metadata was readable. Job title confirmed from the page title only, not the rendered body.</t>
  </si>
  <si>
    <t xml:space="preserve">Technical Account Manager (NEU)</t>
  </si>
  <si>
    <t xml:space="preserve">AlertMedia</t>
  </si>
  <si>
    <t xml:space="preserve">AlertMedia does not sponsor. Must have legal right to work in Ireland.  |  Remote, Dublin, Ireland</t>
  </si>
  <si>
    <t xml:space="preserve">Professional fluency in written and spoken English is required.</t>
  </si>
  <si>
    <t xml:space="preserve">3 to 5 years in customer-facing technical roles, which matches him well. APIs and integrations, SSO, SCIM, SFTP, reading logs and debugging, AI tooling.</t>
  </si>
  <si>
    <t xml:space="preserve">Ireland opted out of Directive 2003/109/EC so his Italian permit does not carry over, and the posting states outright that they do not sponsor. Effectively closed unless he already holds Irish work rights.</t>
  </si>
  <si>
    <t xml:space="preserve">https://job-boards.greenhouse.io/alertmedia/jobs/8656401002</t>
  </si>
  <si>
    <t xml:space="preserve">high - Greenhouse page rendered one posting, the Dublin location, the verbatim no-sponsorship sentence and a full apply form.</t>
  </si>
  <si>
    <t xml:space="preserve">Product Support Engineer: EMEA - Weekend Warrior</t>
  </si>
  <si>
    <t xml:space="preserve">Telnyx</t>
  </si>
  <si>
    <t xml:space="preserve">Dublin  |  Ireland, Dublin, described as remote friendly</t>
  </si>
  <si>
    <t xml:space="preserve">English. The form asks you to rate verbal English proficiency 1 to 10.</t>
  </si>
  <si>
    <t xml:space="preserve">not stated, compensation varies by location and experience</t>
  </si>
  <si>
    <t xml:space="preserve">API and SDK support, Postman, Linux terminal, customer communication. His webhook and REST debugging transfers.</t>
  </si>
  <si>
    <t xml:space="preserve">Ireland opted out of the directive, so this is a sponsorship and permit application. The shift is Wednesday to Sunday, 8am to 5pm UTC. Heavy SIP, RTP, T.38, VoIP and Wireshark expectations he does not have.</t>
  </si>
  <si>
    <t xml:space="preserve">https://job-boards.greenhouse.io/telnyx54/jobs/4651630003</t>
  </si>
  <si>
    <t xml:space="preserve">high - Greenhouse rendered the title, the Dublin location, the shift commitment question and a full apply form. The parent Telnyx board URL is a multi-job index but this specific job URL is not.</t>
  </si>
  <si>
    <t xml:space="preserve">Support Engineer</t>
  </si>
  <si>
    <t xml:space="preserve">Pliant</t>
  </si>
  <si>
    <t xml:space="preserve">not stated  |  Germany, remote</t>
  </si>
  <si>
    <t xml:space="preserve">Fluent in English</t>
  </si>
  <si>
    <t xml:space="preserve">listed as minutes old on 6 Aug 2026</t>
  </si>
  <si>
    <t xml:space="preserve">REST APIs, PostgreSQL, SQL, Postman, cURL, Grafana, Splunk, Datadog, and Claude for AI-assisted debugging</t>
  </si>
  <si>
    <t xml:space="preserve">Fintech operations, corporate cards and accounting workflow automation. Support engineering rather than building automations, and Germany-remote may mean German payroll residency.</t>
  </si>
  <si>
    <t xml:space="preserve">https://jobs.ashbyhq.com/pliant/581ca006-b369-4332-80de-3e383f2f101b</t>
  </si>
  <si>
    <t xml:space="preserve">low - Ashby page is client-rendered and the body could not be read. Title, stack and English line came from a mirror captured the same day.</t>
  </si>
  <si>
    <t xml:space="preserve">Implementation Engineer (Remote, ESP)</t>
  </si>
  <si>
    <t xml:space="preserve">CrowdStrike</t>
  </si>
  <si>
    <t xml:space="preserve">not stated  |  Spain, remote</t>
  </si>
  <si>
    <t xml:space="preserve">not stated, no Spanish requirement found</t>
  </si>
  <si>
    <t xml:space="preserve">Minimum 2 years as a field engineer, technical customer success or post-sales engineer, which genuinely matches his level. Large employer with a real Spain-remote entity.</t>
  </si>
  <si>
    <t xml:space="preserve">Required domain is Windows Server, Active Directory, Kerberos, LDAP, NTLM, SIEM, IAM, PAM, HyperV, VMware ESXi and the three major clouds. A security-infrastructure skill set he does not have. A long shot despite the friendly experience bar.</t>
  </si>
  <si>
    <t xml:space="preserve">https://crowdstrike.wd5.myworkdayjobs.com/crowdstrikecareers/job/spain---remote/implementation-engineer--remote--esp-_r29357</t>
  </si>
  <si>
    <t xml:space="preserve">low - The Workday page would not open in this session. Title, Spain-remote location and the 2-year line came from a rendered aggregator mirror.</t>
  </si>
  <si>
    <t xml:space="preserve">RevOps Specialist</t>
  </si>
  <si>
    <t xml:space="preserve">Enfuce</t>
  </si>
  <si>
    <t xml:space="preserve">Germany - Remote  |  Germany, remote. Enfuce is Finland-based.</t>
  </si>
  <si>
    <t xml:space="preserve">not stated, German not listed as a requirement</t>
  </si>
  <si>
    <t xml:space="preserve">HubSpot, Salesforce, CRM platforms, sales engagement tools, analytics. Maps to his CRM automation and funnel plumbing.</t>
  </si>
  <si>
    <t xml:space="preserve">Asks 4+ years in Revenue Operations specifically, against his 3, and his experience is engineering-led rather than RevOps-titled. Forecasting leans analyst.</t>
  </si>
  <si>
    <t xml:space="preserve">https://enfuceoy.teamtailor.com/jobs/6554769-revops-specialist</t>
  </si>
  <si>
    <t xml:space="preserve">low - teamtailor.com would not open in this session. Details came from two independent rendered aggregator pages.</t>
  </si>
  <si>
    <t xml:space="preserve">Forward Deployment Engineer - Azure AI</t>
  </si>
  <si>
    <t xml:space="preserve">Undisclosed employer via Jobgether (Azure FDE req)</t>
  </si>
  <si>
    <t xml:space="preserve">not stated, described as a competitive compensation package</t>
  </si>
  <si>
    <t xml:space="preserve">Azure OpenAI and Azure AI Foundry, forward-deployed customer-facing delivery. His certified Copilot Studio and Power Automate background is the same Microsoft AI-automation family, and forward-deployed work suits his build-plus-own-the-customer profile.</t>
  </si>
  <si>
    <t xml:space="preserve">English stated explicitly, no Italian mentioned. But it asks 5 to 8 years in cloud, platform, devops or solution engineering against his 3, and requires Kubernetes, AKS, Terraform and Python, all on his gap list. A stretch leaning on the Copilot Studio certification. Employer hidden.</t>
  </si>
  <si>
    <t xml:space="preserve">https://jobs.lever.co/jobgether/f5760e2d-3cd2-4df5-8650-a04a78960d32</t>
  </si>
  <si>
    <t xml:space="preserve">high - Rendered Lever page confirmed a single live posting with the exact title, Italy location, the English line and an active apply option.</t>
  </si>
  <si>
    <t xml:space="preserve">Network Applications Developer Advocate</t>
  </si>
  <si>
    <t xml:space="preserve">Vonage</t>
  </si>
  <si>
    <t xml:space="preserve">Work from Home - Spain  |  Spain, work from home</t>
  </si>
  <si>
    <t xml:space="preserve">English, Spanish not stated as a requirement</t>
  </si>
  <si>
    <t xml:space="preserve">API design and RESTful services, technical writing and documentation, multi-language coding, debugging. His docs habit and API work fit the content side.</t>
  </si>
  <si>
    <t xml:space="preserve">A developer advocate track, so the missing public GitHub, open-source portfolio and talks record is a real handicap even though this posting does not explicitly demand one. Also asks strong software development in authentication, identity verification or security. Spain-based, so a move and a Spanish permit.</t>
  </si>
  <si>
    <t xml:space="preserve">https://job-boards.greenhouse.io/vonage/jobs/8477113002</t>
  </si>
  <si>
    <t xml:space="preserve">high - Greenhouse rendered the title, the Work from Home - Spain line, the requirements and a live apply form.</t>
  </si>
  <si>
    <t xml:space="preserve">AI Full-Stack Product Engineer (Mid-Level)</t>
  </si>
  <si>
    <t xml:space="preserve">Riverflex</t>
  </si>
  <si>
    <t xml:space="preserve">https://riverflex.recruitee.com/o/ai-full-stack-product-engineer-mid-level</t>
  </si>
  <si>
    <t xml:space="preserve">Senior Independent AI Engineer / Architect</t>
  </si>
  <si>
    <t xml:space="preserve">A.Team</t>
  </si>
  <si>
    <t xml:space="preserve">https://weworkremotely.com/remote-jobs/a-team-senior-independent-ai-engineer-architect</t>
  </si>
  <si>
    <t xml:space="preserve">AI Software Engineer (GenAI, Virtual Agent)</t>
  </si>
  <si>
    <t xml:space="preserve">Avanade</t>
  </si>
  <si>
    <t xml:space="preserve">Avanade is the Accenture and Microsoft joint venture, so his Copilot Studio and Power Automate certifications are directly on-brand here.</t>
  </si>
  <si>
    <t xml:space="preserve">https://www.linkedin.com/jobs/view/4432839113/</t>
  </si>
  <si>
    <t xml:space="preserve">FullStack Software Developer (React and Node.js)</t>
  </si>
  <si>
    <t xml:space="preserve">XM</t>
  </si>
  <si>
    <t xml:space="preserve">Attractive relocation package and support for a smooth relocation for you and your family  |  Limassol or Nicosia Cyprus, Athens or Thessaloniki Greece, or remote</t>
  </si>
  <si>
    <t xml:space="preserve">React, Node.js, JavaScript, HTML, CSS and SCSS, REST APIs, SQL, Git. TypeScript, AWS, Kubernetes and Docker listed as advantageous only.</t>
  </si>
  <si>
    <t xml:space="preserve">Asks a minimum of 5 years in JavaScript development against his 3. Kubernetes is advantageous only, not required. Unlike XM's other engineering ads this one carries no degree clause, which matters because their AI Systems Engineer role, an otherwise excellent Copilot Studio and Power Automate match, hard-requires a CS degree.</t>
  </si>
  <si>
    <t xml:space="preserve">https://jobs.eu.lever.co/xm/5b5734a5-0ea7-4360-b4d1-6939aff2a621</t>
  </si>
  <si>
    <t xml:space="preserve">high - Rendered body showed the title, the four-city plus remote location line, the 5-year requirement and two apply buttons.</t>
  </si>
  <si>
    <t xml:space="preserve">Technical Support Engineer (L1 Frontline), EU</t>
  </si>
  <si>
    <t xml:space="preserve">Databento (EU req)</t>
  </si>
  <si>
    <t xml:space="preserve">Remote / London  |  Remote or London, though the title says EU</t>
  </si>
  <si>
    <t xml:space="preserve">Same frontline API support scope as the sibling posting: 2 years support or QA, Wireshark, tcpdump, curl, jq, SQL, strong technical communication.</t>
  </si>
  <si>
    <t xml:space="preserve">The location line says Remote / London even though the title says EU. Confirm before applying whether a UK contract is required, which would rule it out. Python proficiency required.</t>
  </si>
  <si>
    <t xml:space="preserve">https://job-boards.greenhouse.io/databento/jobs/7976255</t>
  </si>
  <si>
    <t xml:space="preserve">high - Greenhouse rendered the title, the Remote / London line and a live application form.</t>
  </si>
  <si>
    <t xml:space="preserve">AI Engineer Mid/Senior - Remote</t>
  </si>
  <si>
    <t xml:space="preserve">Haiku</t>
  </si>
  <si>
    <t xml:space="preserve">https://www.welcometothejungle.com/fr/companies/clerk/jobs/ai-engineer-mid-senior-remote_begles</t>
  </si>
  <si>
    <t xml:space="preserve">AI Transformation Architect EMEA</t>
  </si>
  <si>
    <t xml:space="preserve">Unframe</t>
  </si>
  <si>
    <t xml:space="preserve">not stated  |  Brussels Belgium, Germany remote, or Stockholm Sweden</t>
  </si>
  <si>
    <t xml:space="preserve">listed 5 Aug 2026 on an aggregator, not stated on the posting</t>
  </si>
  <si>
    <t xml:space="preserve">Enterprise software, REST APIs, modern cloud platforms, LLM-powered applications, ERP and CRM systems</t>
  </si>
  <si>
    <t xml:space="preserve">Asks 5+ years in solutions engineering, technical pre-sales or product management against his three. Architect and pre-sales framing rather than hands-on build.</t>
  </si>
  <si>
    <t xml:space="preserve">https://job-boards.greenhouse.io/unframe/jobs/4944222101</t>
  </si>
  <si>
    <t xml:space="preserve">high - Reached via a 302 from boards.greenhouse.io. Rendered page is a single posting with the three locations, the English line, the 5+ years line and a full application form.</t>
  </si>
  <si>
    <t xml:space="preserve">Web Scraping Engineer</t>
  </si>
  <si>
    <t xml:space="preserve">Kadoa</t>
  </si>
  <si>
    <t xml:space="preserve">distributed team with headquarters in Zurich, Switzerland  |  Remote, company HQ Zurich</t>
  </si>
  <si>
    <t xml:space="preserve">not stated, described as competitive</t>
  </si>
  <si>
    <t xml:space="preserve">Node.js, Playwright and Puppeteer, Docker. His scraping and parsing pipelines at FlowSpace are the direct evidence, and Kadoa's pitch is coding agents that build and repair ETL.</t>
  </si>
  <si>
    <t xml:space="preserve">HQ is Swiss, so confirm the contract is an EU remote engagement and not a Swiss hire. Asks 3+ years of web scraping specifically. Docker, Kubernetes and GCP named. The application asks for a GitHub username, which he does not have.</t>
  </si>
  <si>
    <t xml:space="preserve">https://www.kadoa.com/careers/web-scraping-engineer</t>
  </si>
  <si>
    <t xml:space="preserve">high - Rendered company careers page shows the single role, the distributed and Zurich line, 3+ years and email apply instructions.</t>
  </si>
  <si>
    <t xml:space="preserve">Senior Solutions Engineer</t>
  </si>
  <si>
    <t xml:space="preserve">Wiz</t>
  </si>
  <si>
    <t xml:space="preserve">Applicants must have the legal right to work in Spain without visa sponsorship  |  Spain, remote</t>
  </si>
  <si>
    <t xml:space="preserve">5 Aug 2026 per aggregator</t>
  </si>
  <si>
    <t xml:space="preserve">Customer-facing pre-sales engineering, C-level demos and technical discovery, transferable from his client-facing product work.</t>
  </si>
  <si>
    <t xml:space="preserve">Genuinely senior cloud-security role: AWS, Azure, GCP, containers, cloud identity and keys, network engineering, risk frameworks. He has none of that depth. Stretch only.</t>
  </si>
  <si>
    <t xml:space="preserve">https://job-boards.greenhouse.io/wizinc/jobs/4701893006</t>
  </si>
  <si>
    <t xml:space="preserve">medium - The Greenhouse URL 302s to wiz.io/careers which would not open, and the embed did not render. Details came from a rendered aggregator mirror.</t>
  </si>
  <si>
    <t xml:space="preserve">Software Engineer (Associate Solution Architect)</t>
  </si>
  <si>
    <t xml:space="preserve">Rossum</t>
  </si>
  <si>
    <t xml:space="preserve">not stated  |  Prague, Czechia. On-site or hybrid, not stated as remote.</t>
  </si>
  <si>
    <t xml:space="preserve">not stated, no Czech requirement found</t>
  </si>
  <si>
    <t xml:space="preserve">Rossum is a document-AI and intelligent document processing product, so the solution architect track is customer-facing engineering with heavy API and parsing work. Maps well onto his scraping and parsing pipelines and LLM API work. This is the entry rung of a three-level ladder, so the right seniority for 3 years.</t>
  </si>
  <si>
    <t xml:space="preserve">Prague-based, so relocating out of Venice and filing a local residence permit. Rossum's stack leans Python.</t>
  </si>
  <si>
    <t xml:space="preserve">https://jobs.ashbyhq.com/rossum.ai/5813d4c2-aa73-40ee-89a6-cc670c80be9f</t>
  </si>
  <si>
    <t xml:space="preserve">low - Ashby page returned only the JavaScript notice. Title, Prague location and the architect ladder were confirmed from Rossum's own careers index, which listed this role.</t>
  </si>
  <si>
    <t xml:space="preserve">Partner Integration Engineer</t>
  </si>
  <si>
    <t xml:space="preserve">EPI Company</t>
  </si>
  <si>
    <t xml:space="preserve">Fluent in English (CEFR C1 or C2); French, German, Dutch, or any additional European languages are a plus  |  Belgium, remote-first</t>
  </si>
  <si>
    <t xml:space="preserve">English at C1 or C2. Other European languages explicitly only a plus, so English-only is workable.</t>
  </si>
  <si>
    <t xml:space="preserve">25 Jun 2026</t>
  </si>
  <si>
    <t xml:space="preserve">Partner-facing integration engineering on a payments API product (EPI runs Wero). Overlaps on REST APIs, webhooks, integration troubleshooting and working alongside external engineering teams, which is exactly the agency-plus-in-house coordination he did.</t>
  </si>
  <si>
    <t xml:space="preserve">Asks 5+ years working with software engineers, so roughly two years short. AWS and MongoDB listed. Payments and scheme domain is new.</t>
  </si>
  <si>
    <t xml:space="preserve">https://careers.epicompany.eu/jobs/5229601-partner-integration-engineer-remote-first</t>
  </si>
  <si>
    <t xml:space="preserve">low - careers.epicompany.eu would not open in this session. Details came from two independent rendered aggregator mirrors.</t>
  </si>
  <si>
    <t xml:space="preserve">Senior AI Engineer - Full-Stack (m/f/d)</t>
  </si>
  <si>
    <t xml:space="preserve">Holtzbrinck</t>
  </si>
  <si>
    <t xml:space="preserve">100% fully-remote (Croatia, Germany, France, Lithuania, Netherlands, Poland, Sweden, UK)  |  Remote across Croatia, Germany, France, Lithuania, Netherlands, Poland, Sweden and the UK</t>
  </si>
  <si>
    <t xml:space="preserve">English, friendly concise audience-oriented communication in written and spoken form</t>
  </si>
  <si>
    <t xml:space="preserve">React, TypeScript, Firebase and cloud alongside Python, at a global publishing and media group. The React and TypeScript half matches his work.</t>
  </si>
  <si>
    <t xml:space="preserve">Italy is NOT on the eligible country list, so he would need to be hired into one of the eight named countries. Python is a listed core stack item. Titled Senior.</t>
  </si>
  <si>
    <t xml:space="preserve">https://holtzbrinck-careers.softgarden.io/job/62651254/</t>
  </si>
  <si>
    <t xml:space="preserve">low - The softgarden host was blocked on every attempt. Title, the verbatim country list, the English line, the stack and the ATS URL all came from an openable aggregator mirror dated 31 Jul 2026.</t>
  </si>
  <si>
    <t xml:space="preserve">Senior CRM Automation &amp; Data Manager (all genders)</t>
  </si>
  <si>
    <t xml:space="preserve">Sunday Natural</t>
  </si>
  <si>
    <t xml:space="preserve">https://jobs.ashbyhq.com/sunday-natural/334daa15-1d5d-413a-b68b-3e100d0fe6aa/application</t>
  </si>
  <si>
    <t xml:space="preserve">Full Stack Software Engineer</t>
  </si>
  <si>
    <t xml:space="preserve">Wayflyer</t>
  </si>
  <si>
    <t xml:space="preserve">https://jobs.ashbyhq.com/wayflyer/59f3c28d-c365-4343-a11e-001cef58ce90</t>
  </si>
  <si>
    <t xml:space="preserve">AI Engineer - AWS Bedrock AgentCore &amp; Production Agentic Systems | LATAM &amp; Europe</t>
  </si>
  <si>
    <t xml:space="preserve">https://weworkremotely.com/remote-jobs/toptal-ai-engineer-aws-bedrock-agentcore-production-agentic-systems-latam-europe</t>
  </si>
  <si>
    <t xml:space="preserve">Vibe Coder</t>
  </si>
  <si>
    <t xml:space="preserve">Remote Leverage</t>
  </si>
  <si>
    <t xml:space="preserve">LinkedIn location field: European Union  |  European Union</t>
  </si>
  <si>
    <t xml:space="preserve">20 hours ago</t>
  </si>
  <si>
    <t xml:space="preserve">Location field is literally European Union, so no country gate. Vibe Coder means AI-assisted building, which is how he works.</t>
  </si>
  <si>
    <t xml:space="preserve">https://www.linkedin.com/jobs/view/4448398622/</t>
  </si>
  <si>
    <t xml:space="preserve">Digital and AI Transformation Consultant (m/f/x)</t>
  </si>
  <si>
    <t xml:space="preserve">Mitsui Chemicals Group</t>
  </si>
  <si>
    <t xml:space="preserve">LinkedIn location field: Cluj-Napoca, Romania  |  Cluj-Napoca, Romania</t>
  </si>
  <si>
    <t xml:space="preserve">https://www.linkedin.com/jobs/view/4399694891/</t>
  </si>
  <si>
    <t xml:space="preserve">Platform Engineer with AI</t>
  </si>
  <si>
    <t xml:space="preserve">NTT DATA Europe and Latam</t>
  </si>
  <si>
    <t xml:space="preserve">LinkedIn location field: Ro, Emilia-Romagna, Italy  |  Ro, Emilia-Romagna, Italy</t>
  </si>
  <si>
    <t xml:space="preserve">https://www.linkedin.com/jobs/view/4433111445/</t>
  </si>
  <si>
    <t xml:space="preserve">Senior AI Engineer, Individual Productivity</t>
  </si>
  <si>
    <t xml:space="preserve">Intesa Sanpaolo Group</t>
  </si>
  <si>
    <t xml:space="preserve">Indeed location field: Turin, Piedmont, Italy  |  Turin, Piedmont, Italy</t>
  </si>
  <si>
    <t xml:space="preserve">Individual productivity AI at Italy's largest bank, which is internal AI enablement work.</t>
  </si>
  <si>
    <t xml:space="preserve">https://it.indeed.com/viewjob?jk=89da5c8ba1dbefe5</t>
  </si>
  <si>
    <t xml:space="preserve">Software Engineer, Agent Development</t>
  </si>
  <si>
    <t xml:space="preserve">ActiveCampaign</t>
  </si>
  <si>
    <t xml:space="preserve">Willingness to work flexible hours with regular afternoon availability to overlap with US Central timezone  |  Krakow, Poland, hybrid from the Krakow office with flexibility</t>
  </si>
  <si>
    <t xml:space="preserve">Fluent in English (B2 minimum)</t>
  </si>
  <si>
    <t xml:space="preserve">PLN 184,000 to 276,000 a year, roughly EUR 43,000 to 65,000, above his target</t>
  </si>
  <si>
    <t xml:space="preserve">Python, PHP, React, Ember, MySQL, DynamoDB, Redis, AWS</t>
  </si>
  <si>
    <t xml:space="preserve">The experience bar is 2 to 4 years in a software engineering role, the cleanest seniority match found in the whole sweep. Python sits alongside PHP and React rather than as a deep-backend requirement. US Central overlap means late afternoons and evenings from Italy.</t>
  </si>
  <si>
    <t xml:space="preserve">https://jobs.lever.co/activecampaign/3e093aec-8540-49c7-93f1-719727c1191d</t>
  </si>
  <si>
    <t xml:space="preserve">high - Rendered body showed the title, the Krakow location, the stated PLN range and an apply link.</t>
  </si>
  <si>
    <t xml:space="preserve">Langfuse</t>
  </si>
  <si>
    <t xml:space="preserve">Europe (Zurich, Munich, Paris, Berlin, London)  |  Europe, named city list</t>
  </si>
  <si>
    <t xml:space="preserve">EUR 90K to 160K plus equity</t>
  </si>
  <si>
    <t xml:space="preserve">17 Feb 2026</t>
  </si>
  <si>
    <t xml:space="preserve">LLM engineering platform for tracing, observability and evals, which is the tooling layer around the agent work he already ships. Product-engineer framing suits his build-and-own shape.</t>
  </si>
  <si>
    <t xml:space="preserve">Titled Senior. Italy is not in the named city list. The company's August 2026 ad says Berlin or EU-remote with about a week onsite every two months. Published February 2026, so open a while.</t>
  </si>
  <si>
    <t xml:space="preserve">https://jobs.ashbyhq.com/langfuse/a2c4e24c-21d1-4a9f-8d46-422d0592efd6</t>
  </si>
  <si>
    <t xml:space="preserve">low - Ashby page is client-rendered. Liveness comes from the Ashby posting API reporting isListed true, publishedAt 17 Feb 2026 and the EUR band, cross-checked against the company's August 2026 ad.</t>
  </si>
  <si>
    <t xml:space="preserve">Senior Solution Engineer, Global</t>
  </si>
  <si>
    <t xml:space="preserve">Datacor</t>
  </si>
  <si>
    <t xml:space="preserve">Based in Europe or the Middle East with the right to work in that location  |  Remote, Europe or Middle East. Note the header line reads Remote, US while the requirements state the Europe eligibility.</t>
  </si>
  <si>
    <t xml:space="preserve">English required. German or French strongly preferred, Arabic valuable, all as preferences not requirements.</t>
  </si>
  <si>
    <t xml:space="preserve">Asks 3 to 5 years in solution engineering, sales engineering or technical pre-sales, which matches his 3 years. Demos, discovery, CRM and webinar tooling.</t>
  </si>
  <si>
    <t xml:space="preserve">Domain is process and chemical simulation software (Flow Simulation, GoldSim, CHEMCAD). No AI or automation angle. Clarify the conflicting Remote, US header with the recruiter first.</t>
  </si>
  <si>
    <t xml:space="preserve">https://job-boards.greenhouse.io/datacor/jobs/5200122007</t>
  </si>
  <si>
    <t xml:space="preserve">high - Greenhouse page rendered one posting with the Europe and Middle East right-to-work line and a complete application form.</t>
  </si>
  <si>
    <t xml:space="preserve">Customer Solutions Engineer</t>
  </si>
  <si>
    <t xml:space="preserve">Enode</t>
  </si>
  <si>
    <t xml:space="preserve">not stated  |  Europe, remote</t>
  </si>
  <si>
    <t xml:space="preserve">3 Jul 2026 per aggregator</t>
  </si>
  <si>
    <t xml:space="preserve">Enode sells a unified API for energy devices, so this is squarely the API and developer-tool category. Integration support, solution design, translating customer needs into product. Fits his REST and webhook profile.</t>
  </si>
  <si>
    <t xml:space="preserve">Asks 5+ years relevant to customer engineering, so he is about two years short. Energy and EV domain is new.</t>
  </si>
  <si>
    <t xml:space="preserve">https://jobs.ashbyhq.com/enode/6b852b8a-6b6b-4ad2-be67-094af51f04c7</t>
  </si>
  <si>
    <t xml:space="preserve">low - Ashby body did not render. Title, Europe-remote scope and the 5+ years requirement came from a rendered aggregator mirror. A deleted Ashby job still serves its old title, so confirm before applying.</t>
  </si>
  <si>
    <t xml:space="preserve">Go-to-Market AI and Data (AI x Greentech) (m/f/d)</t>
  </si>
  <si>
    <t xml:space="preserve">Reonic</t>
  </si>
  <si>
    <t xml:space="preserve">C2 English proficiency is required  |  Germany, Berlin, on-site 5 days</t>
  </si>
  <si>
    <t xml:space="preserve">C2 English required. German, Italian, French or Portuguese a bonus, so his Italian counts for something.</t>
  </si>
  <si>
    <t xml:space="preserve">n8n, SQL, HubSpot and Aircall integrations, TypeScript as a bonus, modern BI</t>
  </si>
  <si>
    <t xml:space="preserve">On-site five days in Berlin, no remote. Prefers a BI or data engineering background he does not have, and weights Python and SQL heavily.</t>
  </si>
  <si>
    <t xml:space="preserve">https://www.arbeitnow.com/jobs/companies/reonic/go-to-market-ai-data-ai-x-greentech-berlin-54823</t>
  </si>
  <si>
    <t xml:space="preserve">medium - arbeitnow rendered the full description, the C2 English line, the on-site requirement and an apply path.</t>
  </si>
  <si>
    <t xml:space="preserve">Nozomi Networks</t>
  </si>
  <si>
    <t xml:space="preserve">not stated  |  Mendrisio, listed on the board as Italy, on-site</t>
  </si>
  <si>
    <t xml:space="preserve">Questa posizione e' da intendersi in presenza presso la nostra sede di Mendrisio</t>
  </si>
  <si>
    <t xml:space="preserve">JavaScript, TypeScript and React, PostgreSQL, automated testing, Agile. The front-end and database side overlaps his stack.</t>
  </si>
  <si>
    <t xml:space="preserve">ITALIAN FLAG. The description body contains Italian-language text, quoted above, which is a strong signal the working language is Italian. Also requires Ruby or a similar framework. Location is a further problem: the board lists Italy but Mendrisio is in Ticino, Switzerland, so this may be a cross-border role that does not sit under his Italian residence permit at all. Verify both language and country before applying.</t>
  </si>
  <si>
    <t xml:space="preserve">https://builtin.com/job/software-engineer-cloud-backend/6802123</t>
  </si>
  <si>
    <t xml:space="preserve">high - Rendered body showed a single Nozomi Networks posting with the Italian on-site sentence, stack list and posted date. Included specifically because the Italian-language signal needed flagging.</t>
  </si>
  <si>
    <t xml:space="preserve">Intercom</t>
  </si>
  <si>
    <t xml:space="preserve">Dublin, Ireland  |  Ireland, Dublin based</t>
  </si>
  <si>
    <t xml:space="preserve">English, no other language stated</t>
  </si>
  <si>
    <t xml:space="preserve">Asks 1 to 2 years technical support plus REST APIs, SDKs and webhooks, HTML, JavaScript, CSS and Git. The closest single match to his profile in the support lane.</t>
  </si>
  <si>
    <t xml:space="preserve">Ireland opted out of Directive 2003/109/EC, so this is a sponsorship and permit application rather than free movement. Some Ruby and Rails exposure expected.</t>
  </si>
  <si>
    <t xml:space="preserve">https://job-boards.greenhouse.io/intercom/jobs/6436276</t>
  </si>
  <si>
    <t xml:space="preserve">high - Greenhouse rendered the title, the 1 to 2 years requirement, the REST API and webhooks list and a full apply form.</t>
  </si>
  <si>
    <t xml:space="preserve">Customer Success Manager, EMEA</t>
  </si>
  <si>
    <t xml:space="preserve">Customer.io</t>
  </si>
  <si>
    <t xml:space="preserve">Located in the United Kingdom or Ireland  |  United Kingdom or Ireland, remote</t>
  </si>
  <si>
    <t xml:space="preserve">Fluency in French, Russian, and/or Spanish (we are prioritizing multilingual candidates for this role)</t>
  </si>
  <si>
    <t xml:space="preserve">USD 80,000 or equivalent in local currency</t>
  </si>
  <si>
    <t xml:space="preserve">2+ years managing technical products in SaaS, talking to developers technically, coaching AI tool adoption. Customer.io is a webhook and API heavy messaging automation platform, close to his n8n work.</t>
  </si>
  <si>
    <t xml:space="preserve">The UK half needs sponsorship and the Ireland half is a sponsorship application because Ireland opted out of the directive. The posting also prioritises French, Russian or Spanish speakers and he has English only. Listed for completeness rather than as a real target.</t>
  </si>
  <si>
    <t xml:space="preserve">https://job-boards.greenhouse.io/customerio/jobs/8089365</t>
  </si>
  <si>
    <t xml:space="preserve">high - Greenhouse rendered the title, the verbatim location line, the language preference sentence, the USD figure and a live apply form.</t>
  </si>
  <si>
    <t xml:space="preserve">Senior Fullstack Engineer (f/m/d) - Berlin / Germany, EMEA / Remote</t>
  </si>
  <si>
    <t xml:space="preserve">Hygraph</t>
  </si>
  <si>
    <t xml:space="preserve">https://himalayas.app/companies/hygraph/jobs/senior-fullstack-engineer-f-m-d-berlin-i-germany-emea-i-remote</t>
  </si>
  <si>
    <t xml:space="preserve">No-Code / Low-Code Automatisierungsexperte, Vollzeit (m/w/d)</t>
  </si>
  <si>
    <t xml:space="preserve">stefanmueller.ai</t>
  </si>
  <si>
    <t xml:space="preserve">LinkedIn location field: Neu Ulm, Bavaria, Germany  |  Neu Ulm, Bavaria, Germany</t>
  </si>
  <si>
    <t xml:space="preserve">German almost certain, the posting title is in German</t>
  </si>
  <si>
    <t xml:space="preserve">8 hours ago</t>
  </si>
  <si>
    <t xml:space="preserve">https://www.linkedin.com/jobs/view/4450214033/</t>
  </si>
  <si>
    <t xml:space="preserve">Vacature AI Consultant</t>
  </si>
  <si>
    <t xml:space="preserve">SPECTS Data Partners</t>
  </si>
  <si>
    <t xml:space="preserve">Dutch almost certain, the word Vacature is Dutch</t>
  </si>
  <si>
    <t xml:space="preserve">2 days ago, be an early applicant</t>
  </si>
  <si>
    <t xml:space="preserve">https://www.linkedin.com/jobs/view/4448866303/</t>
  </si>
  <si>
    <t xml:space="preserve">Automatisierungs- und Integrationsspezialist, Vollzeit (m/w/d)</t>
  </si>
  <si>
    <t xml:space="preserve">stefanmueller.ai (integration req)</t>
  </si>
  <si>
    <t xml:space="preserve">German almost certain, the title is in German</t>
  </si>
  <si>
    <t xml:space="preserve">https://www.linkedin.com/jobs/view/4449996877/</t>
  </si>
  <si>
    <t xml:space="preserve">Technical Solution Consultant</t>
  </si>
  <si>
    <t xml:space="preserve">WorkBoard</t>
  </si>
  <si>
    <t xml:space="preserve">You are fluent in English and based in Sofia  |  Sofia, Bulgaria, hybrid, 2 days a week in office</t>
  </si>
  <si>
    <t xml:space="preserve">You are fluent in English and based in Sofia</t>
  </si>
  <si>
    <t xml:space="preserve">REST APIs, webhooks, SSO and SAML, SCIM, Workday, Jira, Salesforce, BambooHR</t>
  </si>
  <si>
    <t xml:space="preserve">The verbatim bar is 3 to 5+ years in a technical customer-facing role: solutions engineering, implementation engineering, technical account management or similar. He sits at the floor of that band. No coding-language hard requirement, it is integrations and webhooks work. Needs a move to Sofia.</t>
  </si>
  <si>
    <t xml:space="preserve">https://job-boards.greenhouse.io/workboard/jobs/8634352002</t>
  </si>
  <si>
    <t xml:space="preserve">high - Rendered body showed one posting titled Technical Solution Consultant, Sofia Bulgaria, plus a complete application form with a submit button.</t>
  </si>
  <si>
    <t xml:space="preserve">Software Development Engineer III</t>
  </si>
  <si>
    <t xml:space="preserve">Undisclosed employer via Jobgether (SDE III req)</t>
  </si>
  <si>
    <t xml:space="preserve">4+ years of professional software development experience with a strong focus on backend engineering  |  Italy, remote</t>
  </si>
  <si>
    <t xml:space="preserve">Node.js, PostgreSQL and SQL, Prisma ORM, Redis, JWT auth, REST microservices. His Node.js plus Postgres plus auth and API work covers a meaningful slice.</t>
  </si>
  <si>
    <t xml:space="preserve">No Italian requirement stated. Requires 4+ years with a strong backend focus against his 3 years and intermediate Node. Python is the alternative primary language. Docker, Kubernetes and Kafka listed and he lacks devops depth. Employer hidden.</t>
  </si>
  <si>
    <t xml:space="preserve">https://jobs.lever.co/jobgether/e0c2953f-0797-40d5-b9fb-ef8697bbc421</t>
  </si>
  <si>
    <t xml:space="preserve">high - Rendered Lever page confirmed a single live posting with the exact title, Italy location, the 4+ years line and a working apply link.</t>
  </si>
  <si>
    <t xml:space="preserve">AI Solution Architect</t>
  </si>
  <si>
    <t xml:space="preserve">Altamira (freelance board)</t>
  </si>
  <si>
    <t xml:space="preserve">https://job-boards.greenhouse.io/altamirafreelance/jobs/4936421101</t>
  </si>
  <si>
    <t xml:space="preserve">AI and IT Process Engineer</t>
  </si>
  <si>
    <t xml:space="preserve">Brixon AI</t>
  </si>
  <si>
    <t xml:space="preserve">LinkedIn location field: Msida, Malta  |  Msida, Malta</t>
  </si>
  <si>
    <t xml:space="preserve">Malta is English-working.</t>
  </si>
  <si>
    <t xml:space="preserve">https://www.linkedin.com/jobs/view/4449619696/</t>
  </si>
  <si>
    <t xml:space="preserve">Full-Stack Developer (AI-First), Junior/Mid-Level</t>
  </si>
  <si>
    <t xml:space="preserve">Insignia Group of Companies</t>
  </si>
  <si>
    <t xml:space="preserve">LinkedIn location field: Birkirkara, Malta  |  Birkirkara, Malta</t>
  </si>
  <si>
    <t xml:space="preserve">Junior to mid banding, AI-first framing, and Malta is English-working. One of the better-shaped rows here.</t>
  </si>
  <si>
    <t xml:space="preserve">https://www.linkedin.com/jobs/view/4448536145/</t>
  </si>
  <si>
    <t xml:space="preserve">VCFC.Finance</t>
  </si>
  <si>
    <t xml:space="preserve">Same shape and location as the Insignia req, possibly the same underlying role.</t>
  </si>
  <si>
    <t xml:space="preserve">https://www.linkedin.com/jobs/view/4448553071/</t>
  </si>
  <si>
    <t xml:space="preserve">Artificial Intelligence Engineer</t>
  </si>
  <si>
    <t xml:space="preserve">Arsenalia (Mestre)</t>
  </si>
  <si>
    <t xml:space="preserve">LinkedIn location field: Mestre, Veneto, Italy  |  Mestre, Veneto, Italy</t>
  </si>
  <si>
    <t xml:space="preserve">MESTRE IS VENICE. This is a commutable, in-his-own-city AI Engineer role, and Arsenalia is the company whose motivation letter his whole letter bank was adapted from, so there is existing context to reference.</t>
  </si>
  <si>
    <t xml:space="preserve">https://www.linkedin.com/jobs/view/4436845106/</t>
  </si>
  <si>
    <t xml:space="preserve">Associate Product Builder</t>
  </si>
  <si>
    <t xml:space="preserve">Launchmetrics (product req)</t>
  </si>
  <si>
    <t xml:space="preserve">Product - Multiple locations - Fully Remote  |  Fully remote across the listed offices, which include Milan, Paris, Girona and Madrid</t>
  </si>
  <si>
    <t xml:space="preserve">Clear communication and fluent English, plus other languages are a welcome bonus</t>
  </si>
  <si>
    <t xml:space="preserve">Prototyping with Figma and Lovable, product discovery and shipping. Direct analogue to his Bubble.io to Next.js rebuild and his AI-tool-first way of building.</t>
  </si>
  <si>
    <t xml:space="preserve">Explicitly an entry-level associate product role rather than an engineering job, so pay is likely at the low end. Confirm Milan is an accepted base. Not a coding-first title.</t>
  </si>
  <si>
    <t xml:space="preserve">https://careers.launchmetrics.com/jobs/8082265-associate-product-builder</t>
  </si>
  <si>
    <t xml:space="preserve">high - Rendered body shows the exact title, the associate-stage framing and repeated Apply for this job buttons.</t>
  </si>
  <si>
    <t xml:space="preserve">Customer Lifecycle Marketing Manager</t>
  </si>
  <si>
    <t xml:space="preserve">PubNub</t>
  </si>
  <si>
    <t xml:space="preserve">Poland - Remote  |  Poland, remote</t>
  </si>
  <si>
    <t xml:space="preserve">PLN 12k to 18k a month</t>
  </si>
  <si>
    <t xml:space="preserve">10 Jul 2026</t>
  </si>
  <si>
    <t xml:space="preserve">CRM and marketing automation platforms hands-on, nurture programs, expansion campaigns. Asks 3+ years, which he has.</t>
  </si>
  <si>
    <t xml:space="preserve">Poland residence. Lifecycle marketing strategy more than engineering. Monthly pay of roughly EUR 2,800 to 4,200 straddles his target. Tools not named.</t>
  </si>
  <si>
    <t xml:space="preserve">https://www.pubnub.com/company/careers/?gh_jid=8053195</t>
  </si>
  <si>
    <t xml:space="preserve">low - The Greenhouse URL 302s to pubnub.com which would not open, so body text is unconfirmed. Treat as unproven per the Greenhouse caveat.</t>
  </si>
  <si>
    <t xml:space="preserve">Solutions Engineer - Europe</t>
  </si>
  <si>
    <t xml:space="preserve">Nebuly</t>
  </si>
  <si>
    <t xml:space="preserve">https://jobs.ashbyhq.com/nebuly/fe84bdad-9414-4bfc-aa4e-9aa7f1ca742e</t>
  </si>
  <si>
    <t xml:space="preserve">FT/PT Remote AI Prompt Engineering &amp; Evaluation - Will Train</t>
  </si>
  <si>
    <t xml:space="preserve">DataAnnotation.tech</t>
  </si>
  <si>
    <t xml:space="preserve">https://weworkremotely.com/remote-jobs/dataannotation-tech-ft-pt-remote-ai-prompt-engineering-evaluation-will-train</t>
  </si>
  <si>
    <t xml:space="preserve">Front-End Engineer (Design System)</t>
  </si>
  <si>
    <t xml:space="preserve">SiteGround</t>
  </si>
  <si>
    <t xml:space="preserve">not stated  |  Bulgaria, hybrid</t>
  </si>
  <si>
    <t xml:space="preserve">English-working, no Bulgarian language requirement stated anywhere in the posting</t>
  </si>
  <si>
    <t xml:space="preserve">TypeScript, React 17+, CSS and SASS, HTML, Vite, Storybook, Playwright, GitHub Actions, Figma</t>
  </si>
  <si>
    <t xml:space="preserve">Weakest fit of its lane. Asks a minimum of 5 years front-end experience, and none of his AI, automation or backend work is used.</t>
  </si>
  <si>
    <t xml:space="preserve">https://jobs.lever.co/siteground/f3e78210-c419-449a-92fe-264344b90377</t>
  </si>
  <si>
    <t xml:space="preserve">high - Rendered body showed the title, the Bulgaria hybrid location, the 5-year line and multiple apply buttons.</t>
  </si>
  <si>
    <t xml:space="preserve">GoHighLevel (GHL) Automation Specialist</t>
  </si>
  <si>
    <t xml:space="preserve">Jumpfactor</t>
  </si>
  <si>
    <t xml:space="preserve">https://himalayas.app/companies/jumpfactor/jobs/gohighlevel-ghl-automation-specialist</t>
  </si>
  <si>
    <t xml:space="preserve">AI/ML Engineer - Azure Platform &amp; GenAI Solutions</t>
  </si>
  <si>
    <t xml:space="preserve">Wypoon Technologies</t>
  </si>
  <si>
    <t xml:space="preserve">https://jobs.eu.lever.co/wypoon/136cfee2-28f2-46b0-b634-99a563b9b059</t>
  </si>
  <si>
    <t xml:space="preserve">Onboarding Specialist</t>
  </si>
  <si>
    <t xml:space="preserve">Digitail</t>
  </si>
  <si>
    <t xml:space="preserve">not stated  |  Romania, remote</t>
  </si>
  <si>
    <t xml:space="preserve">not stated, no Romanian requirement found</t>
  </si>
  <si>
    <t xml:space="preserve">21 Nov 2025 per aggregator</t>
  </si>
  <si>
    <t xml:space="preserve">Mid-level SaaS onboarding and software implementation, customer-facing throughout. Matches his work documenting business logic and taking users through a live platform migration.</t>
  </si>
  <si>
    <t xml:space="preserve">Oldest posting here by a wide margin, so staleness is a real risk. Veterinary practice-management software, so limited AI content. Least technical role on the list.</t>
  </si>
  <si>
    <t xml:space="preserve">https://digitail.factorialhr.com/job_posting/onboarding-specialist-274112</t>
  </si>
  <si>
    <t xml:space="preserve">low - digitail.factorialhr.com returned a proxy error and would not open. All details came from a rendered aggregator mirror.</t>
  </si>
  <si>
    <t xml:space="preserve">AI-Native Software Developer</t>
  </si>
  <si>
    <t xml:space="preserve">OnTheGoSystems</t>
  </si>
  <si>
    <t xml:space="preserve">https://weworkremotely.com/remote-jobs/onthegosystems-ai-native-software-developer</t>
  </si>
  <si>
    <t xml:space="preserve">Financial Systems Engineer</t>
  </si>
  <si>
    <t xml:space="preserve">DoiT International</t>
  </si>
  <si>
    <t xml:space="preserve">Are you located in the Eastern Region of the United States, the UK or Ireland?  |  Remote Ireland</t>
  </si>
  <si>
    <t xml:space="preserve">Fluent English; knowledge of any other language is an advantage.</t>
  </si>
  <si>
    <t xml:space="preserve">NetSuite, SuiteScript, SQL, REST APIs, integration platforms, FloQast, Ramp</t>
  </si>
  <si>
    <t xml:space="preserve">Ireland opted out of the EU long-term residence directive, so this is a sponsorship application and the form asks whether he will require visa sponsorship. NetSuite depth is the core ask and he has none.</t>
  </si>
  <si>
    <t xml:space="preserve">https://job-boards.greenhouse.io/doitintl/jobs/7795513003</t>
  </si>
  <si>
    <t xml:space="preserve">high - Single Greenhouse posting with a live application form. The location question and language line were read verbatim off the rendered page.</t>
  </si>
  <si>
    <t xml:space="preserve">Pre-Sales Solution Consultant</t>
  </si>
  <si>
    <t xml:space="preserve">Shaman</t>
  </si>
  <si>
    <t xml:space="preserve">Fluent English, verbal and written. Dutch, German, French and Italian listed as beneficial only.</t>
  </si>
  <si>
    <t xml:space="preserve">EUR 4,500 to 5,500 a month per aggregator, unconfirmed. Well above his target.</t>
  </si>
  <si>
    <t xml:space="preserve">Minimum 3 years in pre-sales, solutions engineering or technical consulting, which matches him. Client-facing discovery and demo work.</t>
  </si>
  <si>
    <t xml:space="preserve">Product knowledge required is Veeva Vault and Salesforce in a pharma context. Narrow domain, no AI or automation angle, no Veeva exposure. Salary unverified.</t>
  </si>
  <si>
    <t xml:space="preserve">https://shaman.recruitee.com/o/pre-sales-solution-consultant</t>
  </si>
  <si>
    <t xml:space="preserve">low - shaman.recruitee.com would not open in this session. All details came from a rendered aggregator mirror.</t>
  </si>
  <si>
    <t xml:space="preserve">Senior Full-Stack Engineer (Laravel/ReactJS)</t>
  </si>
  <si>
    <t xml:space="preserve">Curotec</t>
  </si>
  <si>
    <t xml:space="preserve">https://himalayas.app/companies/curotec/jobs/senior-full-stack-engineer-laravel-reactjs</t>
  </si>
  <si>
    <t xml:space="preserve">Full Stack Engineer II</t>
  </si>
  <si>
    <t xml:space="preserve">Mollie</t>
  </si>
  <si>
    <t xml:space="preserve">not stated, the posting is in English and the CV is requested in English</t>
  </si>
  <si>
    <t xml:space="preserve">React, TypeScript, API design, embedded components, end-to-end product ownership from idea through production. His FlowSpace product-plus-engineering ownership and React work map onto this well.</t>
  </si>
  <si>
    <t xml:space="preserve">No Italian requirement stated and the whole process is in English, so language risk is low. But it requires 5+ years professional software engineering with genuine full-stack capability against his 3. React Native is in the stack and he has no mobile experience. Hybrid Milan.</t>
  </si>
  <si>
    <t xml:space="preserve">https://startup.jobs/full-stack-engineer-ii-mollie-8906768</t>
  </si>
  <si>
    <t xml:space="preserve">medium - A rendered aggregator confirmed the single posting with title, Milan, posted date, the 5+ years requirement and the stack. Mollie's own careers page was not separately opened.</t>
  </si>
  <si>
    <t xml:space="preserve">SENIOR SOFTWARE ENGINEER</t>
  </si>
  <si>
    <t xml:space="preserve">Reverse (software req)</t>
  </si>
  <si>
    <t xml:space="preserve">Indeed location field: Bazzano, Emilia-Romagna, Italy  |  Bazzano, Emilia-Romagna, Italy</t>
  </si>
  <si>
    <t xml:space="preserve">https://it.indeed.com/viewjob?jk=2bde66bd81a5b2db</t>
  </si>
  <si>
    <t xml:space="preserve">Operations Associate - Data and Technology</t>
  </si>
  <si>
    <t xml:space="preserve">Darkroom</t>
  </si>
  <si>
    <t xml:space="preserve">Remote (EST, 9 AM - 5 PM)  |  Remote, eligible countries listed as Brazil, Egypt, India, Portugal, Spain</t>
  </si>
  <si>
    <t xml:space="preserve">Fluent in English and comfortable in client-facing roles</t>
  </si>
  <si>
    <t xml:space="preserve">17 Jun 2026, deadline 16 Aug 2026</t>
  </si>
  <si>
    <t xml:space="preserve">Zapier, n8n, Slack, Notion, Google Workspace, Shopify, internal automation design, dashboards, SQL</t>
  </si>
  <si>
    <t xml:space="preserve">Portugal and Spain are the EU options, so relocation. US Eastern 9 to 5 means roughly 3pm to 11pm from Italy. BigQuery, SQL and Python listed. Reports to the VP of Finance. Closes 16 Aug.</t>
  </si>
  <si>
    <t xml:space="preserve">https://himalayas.app/companies/darkroom/jobs/operations-associate-data-technology</t>
  </si>
  <si>
    <t xml:space="preserve">medium - Himalayas rendered title, the EST hours line, eligible countries, skills and apply path.</t>
  </si>
  <si>
    <t xml:space="preserve">AI Adoption Officer</t>
  </si>
  <si>
    <t xml:space="preserve">MMDSmart Ltd</t>
  </si>
  <si>
    <t xml:space="preserve">https://jobs.workable.com/view/qhTB69SyybzJ77ttkP513L/remote-ai-adoption-officer-in-poland-at-mmdsmart-ltd</t>
  </si>
  <si>
    <t xml:space="preserve">Product Engineer - Remote in Europe</t>
  </si>
  <si>
    <t xml:space="preserve">Opply</t>
  </si>
  <si>
    <t xml:space="preserve">https://opply-1682428990.teamtailor.com/jobs/6710160-product-engineer-remote-in-europe</t>
  </si>
  <si>
    <t xml:space="preserve">Prompt Engineer / KI Spezialist, Vollzeit (m/w/d)</t>
  </si>
  <si>
    <t xml:space="preserve">stefanmueller.ai (prompt req)</t>
  </si>
  <si>
    <t xml:space="preserve">German almost certain, KI is the German term for AI</t>
  </si>
  <si>
    <t xml:space="preserve">7 hours ago</t>
  </si>
  <si>
    <t xml:space="preserve">https://www.linkedin.com/jobs/view/4450200824/</t>
  </si>
  <si>
    <t xml:space="preserve">Fullstack Developer</t>
  </si>
  <si>
    <t xml:space="preserve">Pixel Service &amp; Consulting</t>
  </si>
  <si>
    <t xml:space="preserve">https://himalayas.app/companies/pixel-service-consulting/jobs/fullstack-developer</t>
  </si>
  <si>
    <t xml:space="preserve">Engineer, DevOps Infrastructure as Code (IaC) - AI Training (Freelance, Remote)</t>
  </si>
  <si>
    <t xml:space="preserve">https://job-boards.greenhouse.io/alignerr/jobs/4769519007</t>
  </si>
  <si>
    <t xml:space="preserve">AI Agents Solutions Architect, Finance</t>
  </si>
  <si>
    <t xml:space="preserve">Kraken</t>
  </si>
  <si>
    <t xml:space="preserve">LinkedIn location field: Cyprus  |  Cyprus</t>
  </si>
  <si>
    <t xml:space="preserve">Kraken is a large crypto exchange that hires remotely and pays well above his band. Architect title is a stretch on 3 years.</t>
  </si>
  <si>
    <t xml:space="preserve">https://www.linkedin.com/jobs/view/4390700737/</t>
  </si>
  <si>
    <t xml:space="preserve">Design Engineer, Technical Designer, or PM</t>
  </si>
  <si>
    <t xml:space="preserve">Cogram (second req)</t>
  </si>
  <si>
    <t xml:space="preserve">Berlin, BE, DE / London, England, GB / Remote  |  Remote, CET plus or minus 3 hours, so Venice qualifies</t>
  </si>
  <si>
    <t xml:space="preserve">EUR 70K to 130K</t>
  </si>
  <si>
    <t xml:space="preserve">Product-and-build hybrid at an AI company, asking only 1+ years. Maps onto his engineer-who-also-owned-product shape better than any pure engineering req found.</t>
  </si>
  <si>
    <t xml:space="preserve">A three-way blend, so the actual brief will only be clear at interview. The engineering stack is Python FastAPI. Listed alongside a London site.</t>
  </si>
  <si>
    <t xml:space="preserve">https://www.ycombinator.com/companies/cogram/jobs</t>
  </si>
  <si>
    <t xml:space="preserve">medium - Confirmed from the rendered YC company jobs page showing title, both locations, the EUR band, 1+ years and a per-role apply link. No standalone posting URL is exposed.</t>
  </si>
  <si>
    <t xml:space="preserve">Developer Advocate Intern</t>
  </si>
  <si>
    <t xml:space="preserve">Weaviate</t>
  </si>
  <si>
    <t xml:space="preserve">Europe  |  Europe</t>
  </si>
  <si>
    <t xml:space="preserve">Weaviate is an open-source vector database used heavily with OpenAI and Anthropic APIs, which he uses daily. Content and demo building suits his docs habit.</t>
  </si>
  <si>
    <t xml:space="preserve">A developer advocate track, so the missing public GitHub, open-source portfolio and talks record is a real handicap. It is an internship, so pay is very likely far below his target and the level is below his experience. The ecosystem is Python heavy.</t>
  </si>
  <si>
    <t xml:space="preserve">https://jobs.ashbyhq.com/weaviate/0d1c47c4-bc5b-45d8-8791-8f30f0fb2a12</t>
  </si>
  <si>
    <t xml:space="preserve">low - Ashby body did not render. Title and the Europe location came from Weaviate's Ashby job board feed.</t>
  </si>
  <si>
    <t xml:space="preserve">AI/ML Engineer - Live Story</t>
  </si>
  <si>
    <t xml:space="preserve">Product Heroes</t>
  </si>
  <si>
    <t xml:space="preserve">https://himalayas.app/companies/product-heroes/jobs/ai-ml-engineer-live-story</t>
  </si>
  <si>
    <t xml:space="preserve">Staff Product Manager - AI - 100% Remote - EMEA</t>
  </si>
  <si>
    <t xml:space="preserve">Hostaway</t>
  </si>
  <si>
    <t xml:space="preserve">https://careers.hostaway.com/o/staff-product-manager-ai-remote-emea</t>
  </si>
  <si>
    <t xml:space="preserve">Value Engineer</t>
  </si>
  <si>
    <t xml:space="preserve">deepset (Haystack)</t>
  </si>
  <si>
    <t xml:space="preserve">Berlin  |  Germany, Berlin, secondary Barcelona, remote-first</t>
  </si>
  <si>
    <t xml:space="preserve">15 Jun 2026</t>
  </si>
  <si>
    <t xml:space="preserve">Pre-sales and forward-deployed engineering on an open-source LLM framework and enterprise agent platform</t>
  </si>
  <si>
    <t xml:space="preserve">Haystack is a Python framework, so Python fluency will be assumed. Berlin or Barcelona base.</t>
  </si>
  <si>
    <t xml:space="preserve">https://jobs.ashbyhq.com/deepsetai/64ae158e-76ed-43b9-8f19-d709bd2231ee</t>
  </si>
  <si>
    <t xml:space="preserve">low - Ashby posting page is client-rendered and returns only the JavaScript notice. Liveness comes from the Ashby posting API which reports isListed true and publishedAt 15 Jun 2026, cross-checked against the company's August 2026 hiring ad. Body text unread.</t>
  </si>
  <si>
    <t xml:space="preserve">Senior HubSpot Platform Engineer</t>
  </si>
  <si>
    <t xml:space="preserve">Lobster</t>
  </si>
  <si>
    <t xml:space="preserve">Germany - Remote  |  Germany, remote</t>
  </si>
  <si>
    <t xml:space="preserve">Fluent in English, German listed as Nice to Have</t>
  </si>
  <si>
    <t xml:space="preserve">11 Jun 2026</t>
  </si>
  <si>
    <t xml:space="preserve">HubSpot CRM and CMS, HubSpot Serverless Functions, HubSpot API, Operations Hub, React.js, JavaScript, Git. His React plus CRM automation combination is unusual and fits well.</t>
  </si>
  <si>
    <t xml:space="preserve">Asks several years deep in the HubSpot ecosystem and is titled Senior, above his 3 years. ERP knowledge listed.</t>
  </si>
  <si>
    <t xml:space="preserve">https://lobster-data-gmbh.jobs.personio.com/job/2667990</t>
  </si>
  <si>
    <t xml:space="preserve">low - personio.com would not open in this session. Details came from a rendered aggregator page.</t>
  </si>
  <si>
    <t xml:space="preserve">In Tandem</t>
  </si>
  <si>
    <t xml:space="preserve">https://himalayas.app/companies/in-tandem/jobs/ai-engineer</t>
  </si>
  <si>
    <t xml:space="preserve">Presales Solutions Engineer</t>
  </si>
  <si>
    <t xml:space="preserve">Absorb</t>
  </si>
  <si>
    <t xml:space="preserve">https://jobs.ashbyhq.com/absorblms/a921a1d0-5e93-4bbf-a75e-125732438449</t>
  </si>
  <si>
    <t xml:space="preserve">Automatisierungsexperte (m/w/d), Vollzeit</t>
  </si>
  <si>
    <t xml:space="preserve">Instaffo</t>
  </si>
  <si>
    <t xml:space="preserve">LinkedIn location field: Gifhorn, Lower Saxony, Germany  |  Gifhorn, Lower Saxony, Germany</t>
  </si>
  <si>
    <t xml:space="preserve">2 hours ago</t>
  </si>
  <si>
    <t xml:space="preserve">https://www.linkedin.com/jobs/view/4365608899/</t>
  </si>
  <si>
    <t xml:space="preserve">Sales Engineer</t>
  </si>
  <si>
    <t xml:space="preserve">Gorilla</t>
  </si>
  <si>
    <t xml:space="preserve">Professional fluency in German is highly valued but not essential, alongside excellent English. German is explicitly nice to have.</t>
  </si>
  <si>
    <t xml:space="preserve">Revenue-facing technical role at a data-platform SaaS: demos, solution consulting, pre-sales discovery. Matches his client-facing and product-owning background.</t>
  </si>
  <si>
    <t xml:space="preserve">Asks 4 to 6+ years, so he is short. Energy-market advisory background preferred, which he lacks. German being highly valued means competing against German speakers.</t>
  </si>
  <si>
    <t xml:space="preserve">https://jobs.ashbyhq.com/gorilla/d433c595-1824-4fba-be86-61732600a0fd</t>
  </si>
  <si>
    <t xml:space="preserve">low - Ashby body did not render. Title, Germany-remote scope, the German-not-essential line and the experience band came from a rendered aggregator mirror.</t>
  </si>
  <si>
    <t xml:space="preserve">FlowSpace-like platforms</t>
  </si>
  <si>
    <t xml:space="preserve">Coworking, desk booking, short-stay rental, hospitality tech and travel booking. His Office RnD, Nexudus and Clubee integration work plus the listings pipeline is a scarce credential in this column.</t>
  </si>
  <si>
    <t xml:space="preserve">Domain edge - why his FlowSpace work is rare here</t>
  </si>
  <si>
    <t xml:space="preserve">ShippyPro</t>
  </si>
  <si>
    <t xml:space="preserve">Remote  |  Remote, Italy-based company</t>
  </si>
  <si>
    <t xml:space="preserve">English, no language requirement listed</t>
  </si>
  <si>
    <t xml:space="preserve">EUR 29,000 to 35,000 a year</t>
  </si>
  <si>
    <t xml:space="preserve">3 Jul 2026, updated 5 Aug</t>
  </si>
  <si>
    <t xml:space="preserve">Booking and listings platform, same product shape as FlowSpace.</t>
  </si>
  <si>
    <t xml:space="preserve">Claude and ChatGPT environments, Python, JavaScript, Node.js, APIs, webhooks, automation platforms, HubSpot APIs, MCP servers, agents</t>
  </si>
  <si>
    <t xml:space="preserve">Python sits alongside JS/Node so lead with n8n and Node. Salary is at the bottom of his band. join.com sign-in wall.</t>
  </si>
  <si>
    <t xml:space="preserve">https://join.com/companies/shippypro953/16512307-gtm-engineer</t>
  </si>
  <si>
    <t xml:space="preserve">high - Rendered join.com body showed title, salary line, employment type and a working Apply now button.</t>
  </si>
  <si>
    <t xml:space="preserve">(Senior) Technical Account Manager (m/f/d)</t>
  </si>
  <si>
    <t xml:space="preserve">HomeToGo</t>
  </si>
  <si>
    <t xml:space="preserve">Coworking, short-stay rental or hotel platform. His booking and listings work reads directly onto it.</t>
  </si>
  <si>
    <t xml:space="preserve">https://hometogo.jobs.personio.de/job/2670372</t>
  </si>
  <si>
    <t xml:space="preserve">AI Engineer - Agentic Experience (all genders)</t>
  </si>
  <si>
    <t xml:space="preserve">Holidu</t>
  </si>
  <si>
    <t xml:space="preserve">not stated  |  Munich, Germany</t>
  </si>
  <si>
    <t xml:space="preserve">Holidu is a holiday-rental search and booking marketplace and this team builds agentic experiences over that booking and listings inventory. His n8n plus OpenAI and Anthropic agent work sat on top of a coworking booking and listings catalogue, which is the same shape of data.</t>
  </si>
  <si>
    <t xml:space="preserve">Asks 2 to 5 years, his exact band. ReactJS and PostgreSQL are on his CV, and the posting says proficiency with AI coding tools such as Claude Code matters. It states plainly that the backend language matters less than the thinking.</t>
  </si>
  <si>
    <t xml:space="preserve">Kotlin or Java stated as preferred and AWS plus Kubernetes named, both gaps. Treat the language line as the opening he argues through, not a free pass. Munich-based. The senior twin of this role was checked and excluded.</t>
  </si>
  <si>
    <t xml:space="preserve">https://www.holidu.com/careers/ai-engineer-agentic-experience-all-genders</t>
  </si>
  <si>
    <t xml:space="preserve">high - Rendered posting shows exact title, Munich, the 2 to 5 years line, the full stack list and a live Apply now button. Verified against Holidu's own careers list.</t>
  </si>
  <si>
    <t xml:space="preserve">Internal AI Builder</t>
  </si>
  <si>
    <t xml:space="preserve">Mews</t>
  </si>
  <si>
    <t xml:space="preserve">https://www.mews.com/en/careers/jobs/4861788101?gh_jid=4861788101</t>
  </si>
  <si>
    <t xml:space="preserve">Product Engineer - Mid Level (d/f/m)</t>
  </si>
  <si>
    <t xml:space="preserve">Limehome</t>
  </si>
  <si>
    <t xml:space="preserve">Visa and Language Support: We'll support you during your visa process and with learning German on every language level after passing your probation period.  |  Hybrid Berlin or Munich, Germany</t>
  </si>
  <si>
    <t xml:space="preserve">English. German explicitly not required, offered as a supported perk.</t>
  </si>
  <si>
    <t xml:space="preserve">Limehome is a digitally operated apartment-hotel chain whose whole thesis is automating the booking-to-stay pipeline with no front desk. The role covers product surfaces around bookings and property operations, which is exactly the side he owned.</t>
  </si>
  <si>
    <t xml:space="preserve">Server-side TypeScript is a named accepted language, matching his Node and TS work. Explicitly mid-level rather than senior.</t>
  </si>
  <si>
    <t xml:space="preserve">Python is the alternative accepted language and AWS or GCP plus CDK infrastructure tooling are named, and his cloud and IaC depth is thin. Hybrid, so relocation to Berlin or Munich.</t>
  </si>
  <si>
    <t xml:space="preserve">https://career.limehome.de/o/product-engineer-mid-level-dfm</t>
  </si>
  <si>
    <t xml:space="preserve">high - Rendered page shows the exact title, hybrid Berlin and Munich location, the TypeScript-or-Python stack section and a full application form with CV upload.</t>
  </si>
  <si>
    <t xml:space="preserve">Senior Growth Engineer</t>
  </si>
  <si>
    <t xml:space="preserve">Lodgify</t>
  </si>
  <si>
    <t xml:space="preserve">https://jobs.lever.co/lodgify/e1eab491-a863-4292-8912-0449992aea60</t>
  </si>
  <si>
    <t xml:space="preserve">Product Builder</t>
  </si>
  <si>
    <t xml:space="preserve">https://www.mews.com/en/careers/jobs/4852746101?gh_jid=4852746101</t>
  </si>
  <si>
    <t xml:space="preserve">Senior Backend Engineer, Communications - 100% Remote - EMEA</t>
  </si>
  <si>
    <t xml:space="preserve">https://careers.hostaway.com/o/senior-backend-engineer-communications-100-remote-emea</t>
  </si>
  <si>
    <t xml:space="preserve">Senior Backend Engineer, Guest Portal - 100% Remote - EMEA</t>
  </si>
  <si>
    <t xml:space="preserve">https://careers.hostaway.com/o/senior-backend-engineer-booking-engine-remote</t>
  </si>
  <si>
    <t xml:space="preserve">Senior Growth Marketing Manager (m/f/d)</t>
  </si>
  <si>
    <t xml:space="preserve">Limehome (growth req)</t>
  </si>
  <si>
    <t xml:space="preserve">Visa and Language Support: We'll support you during your visa process and with learning German on every language level after passing your probation period.  |  Munich, Germany, remote and hybrid options stated</t>
  </si>
  <si>
    <t xml:space="preserve">German explicitly not required and offered as a supported perk. English rated in the form.</t>
  </si>
  <si>
    <t xml:space="preserve">Growth and CRO on the direct booking funnel of an apartment-hotel operator. He grew FlowSpace from 2,000 to 4,500+ users and owned lead capture and enrichment into the CRM, which is the conversion side of the same funnel.</t>
  </si>
  <si>
    <t xml:space="preserve">CRO, funnel experimentation, landing-page work on WordPress or Webflow, CRM-driven lifecycle. His Make, Zapier, n8n and Airtable stack is the natural way to run this kind of growth ops.</t>
  </si>
  <si>
    <t xml:space="preserve">Asks 5+ years in Growth Marketing, CRO or Product Marketing, his biggest seniority stretch here. It is a marketing seat rather than an engineering one, which pulls him off the technical track.</t>
  </si>
  <si>
    <t xml:space="preserve">https://career.limehome.de/o/senior-growth-marketing-manager-mfd</t>
  </si>
  <si>
    <t xml:space="preserve">high - Rendered posting shows exact title, Munich with remote and hybrid, the 5+ years line, the WordPress or Webflow tooling line, the visa and German-support paragraph and multiple Apply buttons.</t>
  </si>
  <si>
    <t xml:space="preserve">Growth Marketing Architect (f/m/d)</t>
  </si>
  <si>
    <t xml:space="preserve">Apaleo</t>
  </si>
  <si>
    <t xml:space="preserve">Fluently in English, German is a strong plus</t>
  </si>
  <si>
    <t xml:space="preserve">HubSpot, Google Analytics, Contentful, APIs, AI workflows, prompt engineering, marketing data foundations</t>
  </si>
  <si>
    <t xml:space="preserve">Berlin relocation. Architect title may imply more seniority than 3 years. Apaleo is hotel PMS software, so his booking-platform domain is a real angle here.</t>
  </si>
  <si>
    <t xml:space="preserve">https://www.arbeitnow.com/jobs/companies/apaleo/growth-marketing-architect-berlin-338944</t>
  </si>
  <si>
    <t xml:space="preserve">medium - arbeitnow rendered the full description, the English and German line and an apply path. Freshest posting in the batch.</t>
  </si>
  <si>
    <t xml:space="preserve">Product Manager, Commercial Growth</t>
  </si>
  <si>
    <t xml:space="preserve">Bob W</t>
  </si>
  <si>
    <t xml:space="preserve">We are an equal opportunity employer and value diversity at our company.  |  Tallinn, Estonia, hybrid</t>
  </si>
  <si>
    <t xml:space="preserve">not stated, the posting is English only and Bob W operates in English</t>
  </si>
  <si>
    <t xml:space="preserve">EUR 4,600 to 6,400 monthly gross, roughly EUR 55k to 77k a year, above his stated target</t>
  </si>
  <si>
    <t xml:space="preserve">Bob W is a tech-led aparthotel operator and the role owns direct booking conversion, distribution and the commercial side of the booking funnel. That is the booking and listings surface he grew from 2,000 to 4,500 users.</t>
  </si>
  <si>
    <t xml:space="preserve">Booking-flow conversion, channel and OTA distribution, funnel instrumentation, CRM and lead capture. Scoped at IC3 to IC4, a realistic band for him.</t>
  </si>
  <si>
    <t xml:space="preserve">Hybrid in Tallinn, so an Estonia move. Years of experience not published, only the IC level. Estonia is inside the directive so no sponsorship, but he still files the local permit.</t>
  </si>
  <si>
    <t xml:space="preserve">https://careers.bobw.co/jobs/7691081-product-manager-commercial-growth</t>
  </si>
  <si>
    <t xml:space="preserve">high - Rendered posting shows exact title, Tallinn, Full-time hybrid, the EUR 4,600 to 6,400 monthly gross range and an application form.</t>
  </si>
  <si>
    <t xml:space="preserve">Data Analyst</t>
  </si>
  <si>
    <t xml:space="preserve">Guesty</t>
  </si>
  <si>
    <t xml:space="preserve">Guesty is proud to be an Equal Opportunity Employer.  |  Barcelona, Spain, hybrid, office twice a week</t>
  </si>
  <si>
    <t xml:space="preserve">Strong English communication skills. Spanish not required.</t>
  </si>
  <si>
    <t xml:space="preserve">Guesty is the short-term-rental property management platform, so the analytics sit on listings, bookings, channel performance and host funnels. He built the lead capture and enrichment into CRM and the listings supply pipeline that produces exactly this data.</t>
  </si>
  <si>
    <t xml:space="preserve">Asks 3+ years, his band. SQL, funnel and conversion metrics, CRM data and marketing attribution all overlap with his CRM and lead-enrichment work.</t>
  </si>
  <si>
    <t xml:space="preserve">Expert-level SQL including window functions and query optimisation is the hard gate, and a BI tool is expected. A bachelor's in a quantitative field is listed as required and he has no CS degree. No apply button on the job page, so route via the careers index.</t>
  </si>
  <si>
    <t xml:space="preserve">https://www.guesty.com/careers-open-positions/co/barcelona/16.D6E/data-analyst/</t>
  </si>
  <si>
    <t xml:space="preserve">high - Rendered posting shows exact title, Barcelona, full-time hybrid, the 3+ years and expert-SQL requirements and the equal-opportunity line.</t>
  </si>
  <si>
    <t xml:space="preserve">https://jobs.lever.co/lodgify/d99f7960-cf71-4fd9-b87a-08066b00d07e</t>
  </si>
  <si>
    <t xml:space="preserve">Product Manager - Payments and Billing (m/f/d)</t>
  </si>
  <si>
    <t xml:space="preserve">Limehome (payments req)</t>
  </si>
  <si>
    <t xml:space="preserve">English required and rated in the form. German optional, with I don't speak German offered as a valid answer. Italian not required despite the Milan location.</t>
  </si>
  <si>
    <t xml:space="preserve">not stated, competitive salary</t>
  </si>
  <si>
    <t xml:space="preserve">Payments and billing sitting directly under the reservation flow of an apartment-hotel operator. He built the booking and checkout side of FlowSpace and the coworking-platform integrations that money moves through.</t>
  </si>
  <si>
    <t xml:space="preserve">SQL and product analytics familiarity, agile delivery, cross-department stakeholder work. A modest technical bar, and it is the only platform lead based in Italy, so no relocation and no permit step.</t>
  </si>
  <si>
    <t xml:space="preserve">Solid knowledge of EU billing and payments in hospitality is called out as a requirement and he has no payments depth. Hybrid in Milan, a move from Venice but domestic.</t>
  </si>
  <si>
    <t xml:space="preserve">https://career.limehome.de/o/product-manager-payments-billing-mfd</t>
  </si>
  <si>
    <t xml:space="preserve">high - Rendered posting shows exact title, Milan hybrid, the EU billing and payments requirement, the English and optional-German rating questions and a full apply form.</t>
  </si>
  <si>
    <t xml:space="preserve">Senior Front-end Engineer</t>
  </si>
  <si>
    <t xml:space="preserve">Amenitiz (front-end req)</t>
  </si>
  <si>
    <t xml:space="preserve">not stated  |  Barcelona, Spain, location not restated on the board row</t>
  </si>
  <si>
    <t xml:space="preserve">not stated, the board and company operate in English</t>
  </si>
  <si>
    <t xml:space="preserve">The front end of a hotel booking engine and direct-booking website builder. He rebuilt the FlowSpace booking and listings front end from Bubble.io to Next.js on a live product, which is the same job on the coworking side.</t>
  </si>
  <si>
    <t xml:space="preserve">Next.js, React and TypeScript front-end work is his strongest area and the migration story is directly quotable here.</t>
  </si>
  <si>
    <t xml:space="preserve">Senior band against 3 years is a real stretch and his TypeScript is self-rated intermediate. Same URL limitation as the associate role.</t>
  </si>
  <si>
    <t xml:space="preserve">https://job-boards.greenhouse.io/amenitiz</t>
  </si>
  <si>
    <t xml:space="preserve">medium - The company board URL opens and its rendered body lists Senior Front-end engineer among 27 open roles. Board-level confirmation only.</t>
  </si>
  <si>
    <t xml:space="preserve">Senior Product Builder - Product Knowledge Activation</t>
  </si>
  <si>
    <t xml:space="preserve">https://www.mews.com/en/careers/jobs/4826070101?gh_jid=4826070101</t>
  </si>
  <si>
    <t xml:space="preserve">Connectivity Partner Program Manager</t>
  </si>
  <si>
    <t xml:space="preserve">GetYourGuide</t>
  </si>
  <si>
    <t xml:space="preserve">Are you a EU EEA or CH passport holder ?  |  Berlin, Germany</t>
  </si>
  <si>
    <t xml:space="preserve">not stated, the posting and form are English only</t>
  </si>
  <si>
    <t xml:space="preserve">Connectivity at GetYourGuide is the API and channel-manager layer that pulls supplier inventory and availability into the marketplace. He built exactly this against Office RnD, Nexudus and Clubee to grow FlowSpace listings supply.</t>
  </si>
  <si>
    <t xml:space="preserve">REST APIs, webhooks, availability and inventory sync, partner onboarding and troubleshooting. A partner-program shape rather than pure coding, which suits his integrations-plus-support profile.</t>
  </si>
  <si>
    <t xml:space="preserve">Berlin relocation expected. Seniority band not published. The passport question needs answering with his Italian EU long-term residence status rather than a yes or no.</t>
  </si>
  <si>
    <t xml:space="preserve">https://job-boards.greenhouse.io/getyourguide/jobs/7976582</t>
  </si>
  <si>
    <t xml:space="preserve">high - Single posting, rendered body shows the exact title, Berlin, the three work-authorisation and relocation questions verbatim and a full form.</t>
  </si>
  <si>
    <t xml:space="preserve">Senior Product Manager, Connectivity</t>
  </si>
  <si>
    <t xml:space="preserve">GetYourGuide (PM connectivity req)</t>
  </si>
  <si>
    <t xml:space="preserve">Product ownership of the supplier connectivity platform, meaning the API contracts and availability sync between third-party reservation systems and the marketplace. A direct read-across from his Office RnD, Nexudus and Clubee work.</t>
  </si>
  <si>
    <t xml:space="preserve">API product thinking, webhook and sync semantics, supplier onboarding funnels. He has shipped a Bubble to Next.js and Laravel migration on a live booking product, which is the delivery credibility this asks for.</t>
  </si>
  <si>
    <t xml:space="preserve">Senior PM title against 3 years is the main stretch. Berlin relocation. No stack or experience bar published, so the bar is unknown until screening.</t>
  </si>
  <si>
    <t xml:space="preserve">https://job-boards.greenhouse.io/getyourguide/jobs/7552392</t>
  </si>
  <si>
    <t xml:space="preserve">high - Confirmed single posting with the exact title and Berlin location rendered, plus a live Greenhouse form. No eligibility or salary line appears in the body.</t>
  </si>
  <si>
    <t xml:space="preserve">Senior Frontend Engineer - 100% Remote - EMEA</t>
  </si>
  <si>
    <t xml:space="preserve">https://careers.hostaway.com/o/senior-frontend-engineer-100-remote-emea-1</t>
  </si>
  <si>
    <t xml:space="preserve">Senior Software Engineer (PHP)</t>
  </si>
  <si>
    <t xml:space="preserve">HomeToGo (Cracow)</t>
  </si>
  <si>
    <t xml:space="preserve">https://hometogo.jobs.personio.de/job/2728178</t>
  </si>
  <si>
    <t xml:space="preserve">Senior Full-stack Engineer (m/f/d)</t>
  </si>
  <si>
    <t xml:space="preserve">Numa</t>
  </si>
  <si>
    <t xml:space="preserve">not stated  |  Lisbon, Portugal</t>
  </si>
  <si>
    <t xml:space="preserve">Fluency in English. No other language named.</t>
  </si>
  <si>
    <t xml:space="preserve">14 Jul 2026</t>
  </si>
  <si>
    <t xml:space="preserve">Numa runs a direct-booking short-stay apartment and hotel product across European cities, and this role builds the guest-facing booking and self check-in surfaces. That is the same booking-flow and listings surface he built at FlowSpace.</t>
  </si>
  <si>
    <t xml:space="preserve">Next.js, TypeScript, React, CSS, Node.js and API design are the core requirements, matching his primary stack almost item for item.</t>
  </si>
  <si>
    <t xml:space="preserve">Asks 4+ years vs his 3. Serverless AWS (Lambda, DynamoDB, SQS, SNS) and NestJS are the main gaps. The apply flow runs through the aggregator rather than Numa's own ATS.</t>
  </si>
  <si>
    <t xml:space="preserve">https://startup.jobs/senior-full-stack-engineer-m-f-d-numa-8746112</t>
  </si>
  <si>
    <t xml:space="preserve">medium - Rendered body shows the full title, Lisbon location, requirement list and a working apply path, posted 14 Jul 2026. Numa's own careers page shows no job list at all, so the employer side could not be cross-checked.</t>
  </si>
  <si>
    <t xml:space="preserve">HomeToGo (Kaunas / Vilnius)</t>
  </si>
  <si>
    <t xml:space="preserve">https://hometogo.jobs.personio.de/job/2595767</t>
  </si>
  <si>
    <t xml:space="preserve">Associate Software Engineer</t>
  </si>
  <si>
    <t xml:space="preserve">Amenitiz</t>
  </si>
  <si>
    <t xml:space="preserve">not stated  |  Barcelona, Spain</t>
  </si>
  <si>
    <t xml:space="preserve">Amenitiz sells a booking engine, channel manager and website builder to independent hotels. Channel-manager and booking-flow domain knowledge is the literal product, and his Office RnD, Nexudus and Clubee integrations are the coworking equivalent.</t>
  </si>
  <si>
    <t xml:space="preserve">The Associate band is the right level for 3 years, and the sibling front-end and back-end roles on the same board indicate a JS-heavy product team.</t>
  </si>
  <si>
    <t xml:space="preserve">The individual posting URL could not be extracted: the board renders 27 roles as text without exposing per-job links, and the embed endpoint is robots-blocked. Apply by opening the board and clicking the row.</t>
  </si>
  <si>
    <t xml:space="preserve">medium - The company board URL opens and its rendered body lists Associate Software Engineer, Barcelona among 27 open roles. Board-level confirmation only.</t>
  </si>
  <si>
    <t xml:space="preserve">Client Operations Associate (Test Booking)</t>
  </si>
  <si>
    <t xml:space="preserve">Lighthouse (formerly OTA Insight)</t>
  </si>
  <si>
    <t xml:space="preserve">not stated  |  Ghent, Belgium, hybrid</t>
  </si>
  <si>
    <t xml:space="preserve">Excellent communication skills and fluency in English. Proficiency in Dutch is a strong plus, so nice to have only.</t>
  </si>
  <si>
    <t xml:space="preserve">The entire job is running test bookings against hotel booking engines and OTA rate feeds to validate what Lighthouse's scrapers collect. That is his scraping-and-parsing pipeline plus booking-flow knowledge, restated as a job description.</t>
  </si>
  <si>
    <t xml:space="preserve">No hard engineering bar. Wants web-savvy operators who understand browsers, VPNs, incognito and how booking sites behave, which is the practical half of his scraping work.</t>
  </si>
  <si>
    <t xml:space="preserve">An operations-band role, so pay likely sits at or under his floor and it is a step sideways from engineering. Dutch would help in Ghent. Hybrid, so a Belgium move.</t>
  </si>
  <si>
    <t xml:space="preserve">https://job-boards.eu.greenhouse.io/lighthouse/jobs/4849717101</t>
  </si>
  <si>
    <t xml:space="preserve">high - Single posting renders with exact title, Ghent, Full-Time Hybrid, the Dutch-is-a-plus line and a complete form. Two other Ghent roles on the same board served the multi-job index instead, so those are dead and were excluded.</t>
  </si>
  <si>
    <t xml:space="preserve">Connectivity Partner Business Manager</t>
  </si>
  <si>
    <t xml:space="preserve">GetYourGuide (business req)</t>
  </si>
  <si>
    <t xml:space="preserve">Are you a EU EEA or CH passport holder?  |  Berlin, Germany</t>
  </si>
  <si>
    <t xml:space="preserve">Owns the commercial relationship with the reservation-system and channel-manager vendors that feed GetYourGuide inventory. He has sat on the other side of that table integrating three coworking booking platforms.</t>
  </si>
  <si>
    <t xml:space="preserve">Booking-system and channel-manager domain knowledge, API integration literacy, partner enablement. Light on hard engineering, which suits his intermediate TypeScript.</t>
  </si>
  <si>
    <t xml:space="preserve">Berlin relocation. Business-manager framing means quota or partner-revenue targets, which is not on his CV. Level not published.</t>
  </si>
  <si>
    <t xml:space="preserve">https://job-boards.greenhouse.io/getyourguide/jobs/7979056</t>
  </si>
  <si>
    <t xml:space="preserve">high - Single posting, rendered body shows exact title, Berlin, the work-permit and relocation questions verbatim and a full form.</t>
  </si>
  <si>
    <t xml:space="preserve">Senior Product Manager, Supplier Portal</t>
  </si>
  <si>
    <t xml:space="preserve">GetYourGuide (supplier portal req)</t>
  </si>
  <si>
    <t xml:space="preserve">not stated, the form asks salary expectations and current location</t>
  </si>
  <si>
    <t xml:space="preserve">The supplier portal is where operators create and manage their listings, pricing and availability. Growing listings supply and building the parsing pipeline that populated FlowSpace listings is the same problem from the tooling side.</t>
  </si>
  <si>
    <t xml:space="preserve">Listings CRUD, onboarding funnels, self-serve supplier tooling, data quality on inbound listings. Matches his scraping-to-listings pipeline and lead-enrichment work.</t>
  </si>
  <si>
    <t xml:space="preserve">Senior band vs 3 years. Berlin relocation. The rendered page is mostly the application form, so the requirements section could not be read and the experience bar is unverified.</t>
  </si>
  <si>
    <t xml:space="preserve">https://job-boards.greenhouse.io/getyourguide/jobs/7887400</t>
  </si>
  <si>
    <t xml:space="preserve">high - Confirmed single posting, not a board index. Exact title and Berlin location render, with a complete form including CV, cover letter and salary expectation fields.</t>
  </si>
  <si>
    <t xml:space="preserve">Salesforce &amp; GenAI Builder</t>
  </si>
  <si>
    <t xml:space="preserve">Mindspace (Warsaw)</t>
  </si>
  <si>
    <t xml:space="preserve">https://www.mindspace.me/careers/warsaw/salesforce-genai-builder/73.D67/</t>
  </si>
  <si>
    <t xml:space="preserve">Senior Backend Engineer, Developer Experience - 100% Remote - EMEA</t>
  </si>
  <si>
    <t xml:space="preserve">https://careers.hostaway.com/o/senior-backend-engineer-developer-experience-100-remote-emea</t>
  </si>
  <si>
    <t xml:space="preserve">Director of Partnerships (all genders)</t>
  </si>
  <si>
    <t xml:space="preserve">deskbird</t>
  </si>
  <si>
    <t xml:space="preserve">Based in Europe  |  Hybrid Berlin, Germany</t>
  </si>
  <si>
    <t xml:space="preserve">English. German listed only as a bonus.</t>
  </si>
  <si>
    <t xml:space="preserve">deskbird is desk and room booking software, the closest company anywhere in this sweep to FlowSpace, and partnerships there means the integration and channel relationships with workplace and coworking platforms. That is precisely the Office RnD, Nexudus and Clubee integration work he shipped.</t>
  </si>
  <si>
    <t xml:space="preserve">Integration partnerships, technical partner enablement, booking and workspace domain fluency. No coding bar.</t>
  </si>
  <si>
    <t xml:space="preserve">Hard mismatch on level: asks 8 to 12+ years in partnerships, business development or channel roles against his 3. Listed because the domain fit is the strongest available, so treat it as a networking target rather than a live application. Note deskbird's Senior Full Stack Engineer posting is now dead, it 404s.</t>
  </si>
  <si>
    <t xml:space="preserve">https://deskbird.jobs.personio.com/job/2588364</t>
  </si>
  <si>
    <t xml:space="preserve">high - Rendered posting shows exact title, hybrid Berlin, Full-time permanent, the 8 to 12+ years requirement, the German-as-bonus line, the Based in Europe requirement and an Apply button appearing twice.</t>
  </si>
  <si>
    <t xml:space="preserve">Cloudbeds</t>
  </si>
  <si>
    <t xml:space="preserve">https://job-boards.greenhouse.io/cloudbeds/jobs/4717008005</t>
  </si>
  <si>
    <t xml:space="preserve">Applications submitted</t>
  </si>
  <si>
    <t xml:space="preserve">Every row was confirmed on screen in a real browser. Nothing is counted as submitted without that. All were sent on 5 August 2026, so chase on 19 August.</t>
  </si>
  <si>
    <t xml:space="preserve">#</t>
  </si>
  <si>
    <t xml:space="preserve">ATS</t>
  </si>
  <si>
    <t xml:space="preserve">Confirmation seen on screen</t>
  </si>
  <si>
    <t xml:space="preserve">Cover letter</t>
  </si>
  <si>
    <t xml:space="preserve">Link</t>
  </si>
  <si>
    <t xml:space="preserve">EggAI</t>
  </si>
  <si>
    <t xml:space="preserve">AI software engineer</t>
  </si>
  <si>
    <t xml:space="preserve">Greenhouse</t>
  </si>
  <si>
    <t xml:space="preserve">Confirmed - 'Thank you for applying'</t>
  </si>
  <si>
    <t xml:space="preserve">no - optional letter field left blank</t>
  </si>
  <si>
    <t xml:space="preserve">https://job-boards.eu.greenhouse.io/eggai/jobs/4772834101</t>
  </si>
  <si>
    <t xml:space="preserve">Nuitee</t>
  </si>
  <si>
    <t xml:space="preserve">https://job-boards.greenhouse.io/nuitee/jobs/4901595101</t>
  </si>
  <si>
    <t xml:space="preserve">Arize AI</t>
  </si>
  <si>
    <t xml:space="preserve">AI Sales Engineer, EMEA</t>
  </si>
  <si>
    <t xml:space="preserve">https://job-boards.greenhouse.io/arizeai/jobs/5793354004</t>
  </si>
  <si>
    <t xml:space="preserve">HiPeople</t>
  </si>
  <si>
    <t xml:space="preserve">Applied AI Engineer - Systems and Reliability</t>
  </si>
  <si>
    <t xml:space="preserve">Ashby</t>
  </si>
  <si>
    <t xml:space="preserve">Confirmed - 'Your application was successfully submitted'</t>
  </si>
  <si>
    <t xml:space="preserve">not recorded</t>
  </si>
  <si>
    <t xml:space="preserve">https://jobs.ashbyhq.com/hipeople-official/6c330d7b-7c6d-4993-8893-b58b5289d442/application</t>
  </si>
  <si>
    <t xml:space="preserve">G2i Inc.</t>
  </si>
  <si>
    <t xml:space="preserve">Senior/Staff TypeScript Engineer</t>
  </si>
  <si>
    <t xml:space="preserve">Confirmed - 'successfully submitted'</t>
  </si>
  <si>
    <t xml:space="preserve">https://jobs.ashbyhq.com/g2i/e2b998c8-7b32-4964-997c-93f1422ddff3/application</t>
  </si>
  <si>
    <t xml:space="preserve">Senior Engineer</t>
  </si>
  <si>
    <t xml:space="preserve">https://jobs.ashbyhq.com/g2i/eef73fe6-fe5f-4949-a0f7-a21853eb4179/application</t>
  </si>
  <si>
    <t xml:space="preserve">AI Solutions Manager, EMEA</t>
  </si>
  <si>
    <t xml:space="preserve">https://job-boards.greenhouse.io/arizeai/jobs/5989510004</t>
  </si>
  <si>
    <t xml:space="preserve">OpenHands</t>
  </si>
  <si>
    <t xml:space="preserve">Enterprise Agent Engineer</t>
  </si>
  <si>
    <t xml:space="preserve">https://jobs.ashbyhq.com/openhands/57564a95-13b6-47b1-b601-dd2353484e47/application</t>
  </si>
  <si>
    <t xml:space="preserve">Camunda</t>
  </si>
  <si>
    <t xml:space="preserve">AI Forward Deployed Engineer, EMEA</t>
  </si>
  <si>
    <t xml:space="preserve">not recorded. NOTE: salary field mistake flagged at the time, worth correcting if they come back</t>
  </si>
  <si>
    <t xml:space="preserve">https://jobs.ashbyhq.com/camunda/42b8007d-8299-4793-9581-2b3868ba0754/application</t>
  </si>
  <si>
    <t xml:space="preserve">Viktor</t>
  </si>
  <si>
    <t xml:space="preserve">Agent Harness Engineer</t>
  </si>
  <si>
    <t xml:space="preserve">https://jobs.ashbyhq.com/viktor/c750869a-1859-4339-bfc9-161a9ee2dc9f/application</t>
  </si>
  <si>
    <t xml:space="preserve">tem</t>
  </si>
  <si>
    <t xml:space="preserve">Senior Full Stack Engineer</t>
  </si>
  <si>
    <t xml:space="preserve">Confirmed - 'We'll review your application and contact you about next steps'</t>
  </si>
  <si>
    <t xml:space="preserve">https://jobs.ashbyhq.com/tem/9f448576-a9aa-4c38-b6eb-745b4cc1fc35/application</t>
  </si>
  <si>
    <t xml:space="preserve">Oh</t>
  </si>
  <si>
    <t xml:space="preserve">MarTech Engineer - AI and Automation</t>
  </si>
  <si>
    <t xml:space="preserve">Confirmed - 'successfully submitted. Thank you'</t>
  </si>
  <si>
    <t xml:space="preserve">https://jobs.ashbyhq.com/oh/bcb79f15-907c-48bd-b78e-fcbbd2160a3e/application</t>
  </si>
  <si>
    <t xml:space="preserve">Senior SWE - AI Interaction Evaluator (Codex / Claude Code)</t>
  </si>
  <si>
    <t xml:space="preserve">https://jobs.ashbyhq.com/g2i/86297d95-58ff-4d8b-90d9-98aff576c178/application</t>
  </si>
  <si>
    <t xml:space="preserve">Duvo Inc</t>
  </si>
  <si>
    <t xml:space="preserve">AI Platform Engineer (EU/UK Remote)</t>
  </si>
  <si>
    <t xml:space="preserve">https://jobs.ashbyhq.com/duvo/a1e5cdbc-6159-4895-8dae-cf71196550fa/application</t>
  </si>
  <si>
    <t xml:space="preserve">Sourcegraph</t>
  </si>
  <si>
    <t xml:space="preserve">Product Manager [IC4]</t>
  </si>
  <si>
    <t xml:space="preserve">Confirmed - 'Thank you for applying. Your application has been received'</t>
  </si>
  <si>
    <t xml:space="preserve">no - letter written but NOT attached, the form had no field. Follow-up email drafted, not sent.</t>
  </si>
  <si>
    <t xml:space="preserve">https://job-boards.greenhouse.io/sourcegraph91/jobs/6113147004</t>
  </si>
  <si>
    <t xml:space="preserve">Reedsy</t>
  </si>
  <si>
    <t xml:space="preserve">AI Engineer - Remote Europe</t>
  </si>
  <si>
    <t xml:space="preserve">Confirmed - 'Your application was successfully submitted! We will share an update as soon as possible.'</t>
  </si>
  <si>
    <t xml:space="preserve">n/a - form had no letter field</t>
  </si>
  <si>
    <t xml:space="preserve">https://jobs.ashbyhq.com/reedsy/b043b550-02b7-416f-8969-5db8fd9dc8ee/application</t>
  </si>
  <si>
    <t xml:space="preserve">Cohere</t>
  </si>
  <si>
    <t xml:space="preserve">Forward Deployed Engineer, Agentic Platform</t>
  </si>
  <si>
    <t xml:space="preserve">Confirmed - 'Your application has been submitted! Thank you for your interest in a career growth opportunity at Cohere!'</t>
  </si>
  <si>
    <t xml:space="preserve">https://jobs.ashbyhq.com/cohere/2d256112-b336-4539-8133-a0bf7f6698f0/application</t>
  </si>
  <si>
    <t xml:space="preserve">Sr Growth Engineer (Fullstack TS/Vue/NodeJS)</t>
  </si>
  <si>
    <t xml:space="preserve">Confirmed - 'Your application was successfully submitted. We'll contact you if there are next steps.'</t>
  </si>
  <si>
    <t xml:space="preserve">n/a - no letter field. Note: one n8n role per 15 days, no re-apply within 90 days.</t>
  </si>
  <si>
    <t xml:space="preserve">https://jobs.ashbyhq.com/n8n/6a370ff8-e069-48ed-bffa-5716a3dbd9d5/application</t>
  </si>
  <si>
    <t xml:space="preserve">Goldsky</t>
  </si>
  <si>
    <t xml:space="preserve">Growth Engineer</t>
  </si>
  <si>
    <t xml:space="preserve">yes - Goldsky_Motivation_Letter.pdf uploaded</t>
  </si>
  <si>
    <t xml:space="preserve">https://jobs.ashbyhq.com/goldsky/790751f0-225b-4c88-ad17-58848a757e13/application</t>
  </si>
  <si>
    <t xml:space="preserve">ElevenLabs</t>
  </si>
  <si>
    <t xml:space="preserve">Forward Deployed Engineer - Software Engineer</t>
  </si>
  <si>
    <t xml:space="preserve">Confirmed - 'Thank you for applying to ElevenLabs! We'll be in touch via email shortly.'</t>
  </si>
  <si>
    <t xml:space="preserve">https://jobs.ashbyhq.com/elevenlabs/6c4c57c1-ec72-42ba-af3a-eb7aebbde2e6/application</t>
  </si>
  <si>
    <t xml:space="preserve">Musixmatch</t>
  </si>
  <si>
    <t xml:space="preserve">Product Manager, AI and Content Operations</t>
  </si>
  <si>
    <t xml:space="preserve">Lever</t>
  </si>
  <si>
    <t xml:space="preserve">Confirmed - 'Application submitted!'</t>
  </si>
  <si>
    <t xml:space="preserve">https://jobs.lever.co/musixmatch/65971c0d-8220-47eb-a993-9705dc814c92/apply</t>
  </si>
  <si>
    <t xml:space="preserve">MyEdSpace</t>
  </si>
  <si>
    <t xml:space="preserve">Senior Full-Stack Engineer</t>
  </si>
  <si>
    <t xml:space="preserve">Confirmed - 'We appreciate your interest in joining the team and look forward to reviewing your application.'</t>
  </si>
  <si>
    <t xml:space="preserve">https://jobs.ashbyhq.com/myedspacecareers/e3519a68-d9b4-43c7-9cfe-855163c284b2/application</t>
  </si>
  <si>
    <t xml:space="preserve">Eneba</t>
  </si>
  <si>
    <t xml:space="preserve">Lever (EU)</t>
  </si>
  <si>
    <t xml:space="preserve">https://jobs.eu.lever.co/eneba/df5397c1-489f-4eb9-a771-3d64eb42c86e/apply</t>
  </si>
  <si>
    <t xml:space="preserve">Supabase</t>
  </si>
  <si>
    <t xml:space="preserve">Product Manager - Marketplace</t>
  </si>
  <si>
    <t xml:space="preserve">Confirmed - 'Your application was successfully submitted.'</t>
  </si>
  <si>
    <t xml:space="preserve">n/a - unblocked once passport country and pronouns were confirmed</t>
  </si>
  <si>
    <t xml:space="preserve">https://jobs.ashbyhq.com/supabase/23c9ce7e-6b7b-4316-8f00-8f318e902441/application</t>
  </si>
  <si>
    <t xml:space="preserve">Reflow</t>
  </si>
  <si>
    <t xml:space="preserve">GTM / Growth Engineer (contract)</t>
  </si>
  <si>
    <t xml:space="preserve">n/a - this form had NO resume field at all, so no CV is on file with them</t>
  </si>
  <si>
    <t xml:space="preserve">https://jobs.ashbyhq.com/reflow/60f53162-d4d6-493f-a86b-2a4151816497/application</t>
  </si>
  <si>
    <t xml:space="preserve">Codex</t>
  </si>
  <si>
    <t xml:space="preserve">Go-To-Market (GTM) Engineer</t>
  </si>
  <si>
    <t xml:space="preserve">https://jobs.ashbyhq.com/codex/3839fbad-7966-4c19-ad0f-138d8fa47062/application</t>
  </si>
  <si>
    <t xml:space="preserve">Checkly</t>
  </si>
  <si>
    <t xml:space="preserve">Senior Sales Engineer (remote, Europe)</t>
  </si>
  <si>
    <t xml:space="preserve">Confirmed - 'Thanks for applying! We'll review your application and get back to you asap.'</t>
  </si>
  <si>
    <t xml:space="preserve">yes - full letter pasted into the Cover letter field</t>
  </si>
  <si>
    <t xml:space="preserve">https://jobs.ashbyhq.com/checkly/39dceb59-01f6-43c9-9629-1055efd9697f/application</t>
  </si>
  <si>
    <t xml:space="preserve">Jimdo</t>
  </si>
  <si>
    <t xml:space="preserve">Confirmed - 'Thank you for submitting your application! You will soon receive further feedback from us.'</t>
  </si>
  <si>
    <t xml:space="preserve">n/a - form had no letter field. Cleanest eligibility of any role in three sweeps: Germany, Italy, Portugal, Spain.</t>
  </si>
  <si>
    <t xml:space="preserve">https://jobs.ashbyhq.com/jimdo.com/7059268a-22f2-4a68-9bd8-e376c67a3b7b/application</t>
  </si>
  <si>
    <t xml:space="preserve">Taxfix</t>
  </si>
  <si>
    <t xml:space="preserve">AI Automation Specialist - Marketing and GTM (d/f/m)</t>
  </si>
  <si>
    <t xml:space="preserve">Confirmed - 'Your application was successfully submitted. We'll contact you with next steps.'</t>
  </si>
  <si>
    <t xml:space="preserve">https://jobs.ashbyhq.com/taxfix.com/40703426-e9e5-4df0-9a6b-cea5526a5b05/application</t>
  </si>
  <si>
    <t xml:space="preserve">Make (Celonis)</t>
  </si>
  <si>
    <t xml:space="preserve">GTM Engineer - Revenue Programs</t>
  </si>
  <si>
    <t xml:space="preserve">Greenhouse (embed)</t>
  </si>
  <si>
    <t xml:space="preserve">Confirmed - 'Thank you for applying. You've taken the first step towards becoming our new Maker! Your profile will now be evaluated.'</t>
  </si>
  <si>
    <t xml:space="preserve">yes - full cover letter typed into the Cover Letter field</t>
  </si>
  <si>
    <t xml:space="preserve">https://job-boards.greenhouse.io/embed/job_app?for=make&amp;token=7778897003</t>
  </si>
  <si>
    <t xml:space="preserve">Needs you, or blocked</t>
  </si>
  <si>
    <t xml:space="preserve">One row per role, each with its own link. Green means he can clear it himself in a browser in minutes. Amber needs a decision or something only he can write. Red is a hard gate, recorded so it does not get re-found next sweep.</t>
  </si>
  <si>
    <t xml:space="preserve">Blocker</t>
  </si>
  <si>
    <t xml:space="preserve">What is actually needed</t>
  </si>
  <si>
    <t xml:space="preserve">Arkipel</t>
  </si>
  <si>
    <t xml:space="preserve">join.com sign-in</t>
  </si>
  <si>
    <t xml:space="preserve">not disclosed, open to discussion</t>
  </si>
  <si>
    <t xml:space="preserve">Remote within CET minus 1 to plus 1, so Venice qualifies. TypeScript, Node, React, PostgreSQL, AWS and Docker, and the posting explicitly expects engineers to use coding agents daily, which is how he already works. Early-career candidates are discouraged, so pitch the senior framing. This link is the euremotejobs mirror; the apply flow still lands on join.com.</t>
  </si>
  <si>
    <t xml:space="preserve">https://euremotejobs.com/job/arkipel-remote-within-the-1-1-cet-time-zone-range-full-time-product-engineer-at-join/</t>
  </si>
  <si>
    <t xml:space="preserve">not disclosed</t>
  </si>
  <si>
    <t xml:space="preserve">Founding engineer scope. Flagged tier 3 on eligibility in the sweep, so check the country line first.</t>
  </si>
  <si>
    <t xml:space="preserve">Forward-deployed plus CRM architecture is his lead capture, enrichment and sales-funnel automation work with a better title on it.</t>
  </si>
  <si>
    <t xml:space="preserve">Jamie</t>
  </si>
  <si>
    <t xml:space="preserve">AI Engineer - top 5% salary band in Europe</t>
  </si>
  <si>
    <t xml:space="preserve">stated as top 5% in Europe plus VSOP, no figures</t>
  </si>
  <si>
    <t xml:space="preserve">Asks 2+ years, one of very few AI Engineer reqs his 3 years clears rather than stretches. Prompt engineering and shipping LLM features into a live product is directly his FlowSpace work. The gate is a Berlin Mitte office expectation several days a week, so clarify whether fully remote from Italy is genuinely on the table before investing.</t>
  </si>
  <si>
    <t xml:space="preserve">https://join.com/companies/meetjamieai/16383408-ai-engineer-top-5-salary-band-in-europe</t>
  </si>
  <si>
    <t xml:space="preserve">KFS GROUP</t>
  </si>
  <si>
    <t xml:space="preserve">Junior Full-Stack Developer (TypeScript, React, Supabase, Postgres)</t>
  </si>
  <si>
    <t xml:space="preserve">not disclosed, Hungarian band</t>
  </si>
  <si>
    <t xml:space="preserve">The only posting in any sweep whose eligibility sentence names CET hours as a sufficient alternative to residency, and Venice is CET. Stack is his actual toolkit. But it is pitched junior, so he would be applying down at a Hungarian band that will very likely sit under his range.</t>
  </si>
  <si>
    <t xml:space="preserve">https://join.com/companies/kfs1/16523505-junior-full-stack-developer-typescript-react-supabase-postgres</t>
  </si>
  <si>
    <t xml:space="preserve">Laioutr GmbH</t>
  </si>
  <si>
    <t xml:space="preserve">AI Engineer (m/f/d), Full Stack</t>
  </si>
  <si>
    <t xml:space="preserve">EUR 36,000-60,000</t>
  </si>
  <si>
    <t xml:space="preserve">Band starts inside his target and the posting states fluent German OR English, so language is not a gate. Two problems: Remote (Deutschland) means remote within Germany, and the frontend is Nuxt and Vue first, with no Vue on his CV.</t>
  </si>
  <si>
    <t xml:space="preserve">https://join.com/companies/laioutr/16494968-ai-engineer-m-f-d-full-stack-typescript-nuxt-next-vue-react</t>
  </si>
  <si>
    <t xml:space="preserve">Added 6 August. Clay, Apollo, HubSpot at tool depth, Python, JavaScript, outbound systems. Remote Germany. Framed as a co-founding partnership despite the employee contract label, so it may be equity-weighted.</t>
  </si>
  <si>
    <t xml:space="preserve">Pinnipedia</t>
  </si>
  <si>
    <t xml:space="preserve">role recorded in the 5 August shortlist</t>
  </si>
  <si>
    <t xml:space="preserve">The direct URL was not captured before the shortlist was written. Search the company name on join.com once signed in. Logged so it does not get lost.</t>
  </si>
  <si>
    <t xml:space="preserve">https://join.com/companies</t>
  </si>
  <si>
    <t xml:space="preserve">RevOS GmbH</t>
  </si>
  <si>
    <t xml:space="preserve">AI Native Senior Full Stack Engineer</t>
  </si>
  <si>
    <t xml:space="preserve">EUR 3,000-4,000 a month</t>
  </si>
  <si>
    <t xml:space="preserve">The eligibility line is written for his exact situation: you are in the European Union and have a valid European work permit, on a contract basis. But EUR 4,000 a month is about EUR 190 a day, at or under his floor, and they want 5+ years for it. Stack reaches into Python, Spark and dbt.</t>
  </si>
  <si>
    <t xml:space="preserve">https://join.com/companies/revos/15825399-ai-native-senior-full-stack-engineer</t>
  </si>
  <si>
    <t xml:space="preserve">EUR 29,000-35,000</t>
  </si>
  <si>
    <t xml:space="preserve">Added 6 August and the most immediately actionable of the whole join.com set: an ITALIAN company, remote, his salary band exactly, and the tool list is Claude and ChatGPT environments, JavaScript, Node.js, APIs, webhooks, automation platforms, HubSpot APIs and MCP servers. Fit 99.</t>
  </si>
  <si>
    <t xml:space="preserve">cargovibe</t>
  </si>
  <si>
    <t xml:space="preserve">Founding Engineer (all genders)</t>
  </si>
  <si>
    <t xml:space="preserve">Founding-engineer scope means owning product surface end to end, which is what he did at FlowSpace. TypeScript, Node and React plus stated interest in LLM and voice features, and the posting says outright that not ticking every box is fine. Remote (Germany) so confirm an Italy-resident hire works. React Native and Expo are in the stack and he has no mobile.</t>
  </si>
  <si>
    <t xml:space="preserve">https://join.com/companies/cargovibede/16370194-founding-engineer-all-genders</t>
  </si>
  <si>
    <t xml:space="preserve">dexter health</t>
  </si>
  <si>
    <t xml:space="preserve">peopleIX</t>
  </si>
  <si>
    <t xml:space="preserve">Full-Stack Engineer, Workflow Automation Platform (m/f/d)</t>
  </si>
  <si>
    <t xml:space="preserve">EUR 65,000-80,000</t>
  </si>
  <si>
    <t xml:space="preserve">Best-paying find of the whole search. The product IS a workflow automation platform, the domain he has spent two years in. Stack is React, TypeScript, Node, PostgreSQL, tRPC, Prisma, Next.js, Tailwind, a near-exact overlap, and it asks 3+ years which is literally his level. Cologne hybrid so a relocation. Named integrations Personio, DATEV and SAP suggest German context.</t>
  </si>
  <si>
    <t xml:space="preserve">https://join.com/companies/peopleix/16471347-full-stack-engineer-workflow-automation-platform-m-f-d</t>
  </si>
  <si>
    <t xml:space="preserve">salesHAX Consulting</t>
  </si>
  <si>
    <t xml:space="preserve">Full-Stack AI Developer / Engineer (m/w/d)</t>
  </si>
  <si>
    <t xml:space="preserve">EUR 60,000-110,000</t>
  </si>
  <si>
    <t xml:space="preserve">The named stack is the closest thing to a transcription of his CV anywhere: Next.js, React, Node and Express, PostgreSQL, Supabase, OpenAI and Anthropic Claude, Make.com and n8n. Remote. Blockers: permanent German employment, so raise the Partita IVA route early; the posting is in German so the working language may be too; they prefer a portfolio or GitHub, which he does not have, so he needs a written case study.</t>
  </si>
  <si>
    <t xml:space="preserve">https://join.com/companies/saleshax/16342286-full-stack-ai-developer-engineer-m-w-d</t>
  </si>
  <si>
    <t xml:space="preserve">workable domain unreachable</t>
  </si>
  <si>
    <t xml:space="preserve">From the 6 August sweep, fit 95. AI-powered customer service automation for e-commerce, so the product is effectively agentic workflows over APIs, and they provide Claude and Cursor subscriptions. Strongest thematic match of that sweep. Confirm it accepts an Italy-based hire rather than Romania specifically.</t>
  </si>
  <si>
    <t xml:space="preserve">From the 6 August sweep. The best direct stack match found anywhere: he already ships Laravel and PHP and led a Bubble.io to Next.js and Laravel migration. Listed countries include Denmark and the UK which are unusable, so he must open it and confirm which of the other four are open and whether Italy is one.</t>
  </si>
  <si>
    <t xml:space="preserve">Mindrift / Toloka AI</t>
  </si>
  <si>
    <t xml:space="preserve">Freelance Full-Stack Web App Developer</t>
  </si>
  <si>
    <t xml:space="preserve">Fit 64, freelance basis which suits the Partita IVA. Same apply.workable.com blocker.</t>
  </si>
  <si>
    <t xml:space="preserve">https://apply.workable.com/toloka-ai/j/F5013CA4FC/apply/</t>
  </si>
  <si>
    <t xml:space="preserve">Moneyfarm</t>
  </si>
  <si>
    <t xml:space="preserve">Senior Software Engineer - Frontend</t>
  </si>
  <si>
    <t xml:space="preserve">EUR 48,000-68,000</t>
  </si>
  <si>
    <t xml:space="preserve">Fit 73, salary above target, Italian fintech. Same apply.workable.com blocker, opens fine in his browser.</t>
  </si>
  <si>
    <t xml:space="preserve">https://apply.workable.com/moneyfarm/j/DD702C60CF/</t>
  </si>
  <si>
    <t xml:space="preserve">From the 6 August sweep. Portugal plus four undisclosed countries, so he needs to open it and check whether Italy is one of them. HubSpot, PandaDoc, Apollo.</t>
  </si>
  <si>
    <t xml:space="preserve">SalesCaptain</t>
  </si>
  <si>
    <t xml:space="preserve">Fit 82 and the best raw tool match anywhere: Clay workflows and AI columns, n8n, Make.com, Zapier, Claude, GPT-4, JavaScript, CRM, mid-level, remote on EU hours. apply.workable.com is unreachable for this session's browser but opens fine in his. Note syndicated copies list the location as United Kingdom, contradicting the EU-hours line, so confirm.</t>
  </si>
  <si>
    <t xml:space="preserve">https://apply.workable.com/salescaptain/j/5D318B62CB/</t>
  </si>
  <si>
    <t xml:space="preserve">DADA ENERGY SRL</t>
  </si>
  <si>
    <t xml:space="preserve">AI-Native Full-Stack Developer - D2 Hub Energy Automation</t>
  </si>
  <si>
    <t xml:space="preserve">Indeed apply flow needs him</t>
  </si>
  <si>
    <t xml:space="preserve">Fit 84. Milan. EXPLICITLY ACCEPTS A PARTITA IVA CONTRACT, which suits his sole-trader setup exactly. Next.js, React, TypeScript, PostgreSQL, Docker plus LLM integration and RAG, and it asks only 1+ years.</t>
  </si>
  <si>
    <t xml:space="preserve">https://it.indeed.com/viewjob?jk=75f472b960751e88</t>
  </si>
  <si>
    <t xml:space="preserve">Loomya</t>
  </si>
  <si>
    <t xml:space="preserve">AI Automation Engineer - Software Development and Integrations</t>
  </si>
  <si>
    <t xml:space="preserve">EUR 30,000-35,000</t>
  </si>
  <si>
    <t xml:space="preserve">Fit 85. Santa Croce sull'Arno, Tuscany. His band exactly. Asks 3-5 years in software development, automation or integrations, plus JavaScript and TypeScript, REST APIs, JSON and webhooks.</t>
  </si>
  <si>
    <t xml:space="preserve">https://it.indeed.com/viewjob?jk=ca2f94a1378e690d</t>
  </si>
  <si>
    <t xml:space="preserve">MailerLite</t>
  </si>
  <si>
    <t xml:space="preserve">PHP Engineer</t>
  </si>
  <si>
    <t xml:space="preserve">disclosed, above target</t>
  </si>
  <si>
    <t xml:space="preserve">Fit 75. Rome with a remote option. The only Italian-market row with all three of a disclosed salary above target, an explicit English-only language line, and a stack he has actually shipped.</t>
  </si>
  <si>
    <t xml:space="preserve">https://it.indeed.com/viewjob?jk=09dad482b024076d</t>
  </si>
  <si>
    <t xml:space="preserve">Docplanner / MioDottore</t>
  </si>
  <si>
    <t xml:space="preserve">six Italy and Spain roles</t>
  </si>
  <si>
    <t xml:space="preserve">ATS blocks automation</t>
  </si>
  <si>
    <t xml:space="preserve">Returns HTTP 400 to every automated attempt, which is tenant-level blocking rather than a rendering failure. This is the largest cluster of Italy-based engineering roles found in any sweep, so it is worth him opening the board by hand.</t>
  </si>
  <si>
    <t xml:space="preserve">https://jobs.smartrecruiters.com/Docplanner</t>
  </si>
  <si>
    <t xml:space="preserve">Gensyn</t>
  </si>
  <si>
    <t xml:space="preserve">needs his own words</t>
  </si>
  <si>
    <t xml:space="preserve">Live. The required question is What makes you a good fit for this role? and the posting explicitly asks for no AI-generated response. His to write.</t>
  </si>
  <si>
    <t xml:space="preserve">https://job-boards.eu.greenhouse.io/gensyn/jobs/4660248101</t>
  </si>
  <si>
    <t xml:space="preserve">Kairos</t>
  </si>
  <si>
    <t xml:space="preserve">Contract Software Engineer</t>
  </si>
  <si>
    <t xml:space="preserve">USD 70-120 an hour</t>
  </si>
  <si>
    <t xml:space="preserve">Live and otherwise a fit. The free-response questions are What risks from AI are you most concerned about? and What is your experience with AI Safety? Those are his opinions to write, not mine to invent.</t>
  </si>
  <si>
    <t xml:space="preserve">https://jobs.ashbyhq.com/kairos-project/d0aeae33-8eae-4d58-ac30-369a87dd90c7/application</t>
  </si>
  <si>
    <t xml:space="preserve">Fueled</t>
  </si>
  <si>
    <t xml:space="preserve">Contract Senior Front End Engineer</t>
  </si>
  <si>
    <t xml:space="preserve">US authorisation question</t>
  </si>
  <si>
    <t xml:space="preserve">Live, contract, remote anywhere. Two stops: a required US Work Authorization Status dropdown, which his runbook says to stop on, and a required years-building-large-scale question.</t>
  </si>
  <si>
    <t xml:space="preserve">https://job-boards.greenhouse.io/fueledcareers/jobs/4038230008</t>
  </si>
  <si>
    <t xml:space="preserve">Italy not on the country list</t>
  </si>
  <si>
    <t xml:space="preserve">Fully remote across Croatia, Germany, France, Lithuania, Netherlands, Poland, Sweden and the UK. Italy is absent, so this is a relocation decision, and the softgarden host was unreachable for this session.</t>
  </si>
  <si>
    <t xml:space="preserve">CAD 130K-220K</t>
  </si>
  <si>
    <t xml:space="preserve">Strong n8n and Clay tool match. Twelve eligible countries and Italy is not among them, so he would have to apply on the basis of relocating to France, Germany, the Netherlands, Poland, Portugal or Spain. Also requires US Eastern overlap.</t>
  </si>
  <si>
    <t xml:space="preserve">Product Manager [IC4] - follow-up owed</t>
  </si>
  <si>
    <t xml:space="preserve">letter never attached</t>
  </si>
  <si>
    <t xml:space="preserve">Already submitted, but the motivation letter was written and never attached because the form had no field, and Greenhouse applications cannot be edited. A follow-up email is drafted in drafts/sourcegraph-followup-draft.md and NOT sent. It needs his go-ahead.</t>
  </si>
  <si>
    <t xml:space="preserve">Ireland, no sponsorship</t>
  </si>
  <si>
    <t xml:space="preserve">A genuinely good technical fit at 3 to 5 years, but the posting states outright that they do not sponsor and require the legal right to work in Ireland. Ireland opted out of the EU long-term residence directive, so his Italian permit does not carry over.</t>
  </si>
  <si>
    <t xml:space="preserve">Attio</t>
  </si>
  <si>
    <t xml:space="preserve">UK right to work</t>
  </si>
  <si>
    <t xml:space="preserve">Fit 69. London hybrid, and the form requires ongoing right to work in the UK.</t>
  </si>
  <si>
    <t xml:space="preserve">https://jobs.ashbyhq.com/attio</t>
  </si>
  <si>
    <t xml:space="preserve">Ben</t>
  </si>
  <si>
    <t xml:space="preserve">UK, deadline passed</t>
  </si>
  <si>
    <t xml:space="preserve">Fit 80. The application deadline was 10 July 2026, London hybrid three days a week is mandatory, and it requires UK work eligibility without sponsorship.</t>
  </si>
  <si>
    <t xml:space="preserve">https://jobs.ashbyhq.com/ben</t>
  </si>
  <si>
    <t xml:space="preserve">Cresta</t>
  </si>
  <si>
    <t xml:space="preserve">AI Deployment Manager / Senior FDE / Conversational Designer</t>
  </si>
  <si>
    <t xml:space="preserve">Fit 63, 58 and 53. Every Cresta EMEA requisition requires unrestricted UK work authorisation.</t>
  </si>
  <si>
    <t xml:space="preserve">https://cresta.com/careers</t>
  </si>
  <si>
    <t xml:space="preserve">UK or Ireland only</t>
  </si>
  <si>
    <t xml:space="preserve">USD 80,000</t>
  </si>
  <si>
    <t xml:space="preserve">UK or Ireland only, both needing sponsorship, and the posting prioritises French, Russian or Spanish speakers.</t>
  </si>
  <si>
    <t xml:space="preserve">Lovable</t>
  </si>
  <si>
    <t xml:space="preserve">no EU-remote option</t>
  </si>
  <si>
    <t xml:space="preserve">Fit 75. Work-location options are Stockholm, Boston, London and SF offices only and the form requires legal right to work in that country.</t>
  </si>
  <si>
    <t xml:space="preserve">https://jobs.ashbyhq.com/lovable/7fe39289-1f7f-47d4-8002-d3aeeaaaabc6/application</t>
  </si>
  <si>
    <t xml:space="preserve">Italian plus Switzerland</t>
  </si>
  <si>
    <t xml:space="preserve">The description body contains Italian-language text, and the location is Mendrisio in Ticino, Switzerland, despite the board listing it as Italy. Two blockers at once.</t>
  </si>
  <si>
    <t xml:space="preserve">Reverse</t>
  </si>
  <si>
    <t xml:space="preserve">Deployment Strategist - AI</t>
  </si>
  <si>
    <t xml:space="preserve">Italian required</t>
  </si>
  <si>
    <t xml:space="preserve">EUR 60,000-80,000</t>
  </si>
  <si>
    <t xml:space="preserve">THE EXPENSIVE ITALIAN-LANGUAGE LOSS. Milan or Rome, permanent, asks 2-5 years which is his exact band, no technology mandated. Lost purely on Italian. The clearest single argument for a B1 course.</t>
  </si>
  <si>
    <t xml:space="preserve">https://it.indeed.com/viewjob?jk=ec83a38a6467bd5d</t>
  </si>
  <si>
    <t xml:space="preserve">Satispay</t>
  </si>
  <si>
    <t xml:space="preserve">Software Engineer III, Backend - Business Domain</t>
  </si>
  <si>
    <t xml:space="preserve">skipped on principle</t>
  </si>
  <si>
    <t xml:space="preserve">Fit 58. Live, Milan hybrid three days a week. Skipped deliberately: the required proficiency question offers only Java, C++, Go, Python, Rust, C# or None, so the honest answer is None for a backend software engineering role.</t>
  </si>
  <si>
    <t xml:space="preserve">https://jobs.ashbyhq.com/satispay/45744663-4768-48d1-81c9-218eb54a2027/application</t>
  </si>
  <si>
    <t xml:space="preserve">The Global Talent Co.</t>
  </si>
  <si>
    <t xml:space="preserve">GTM Engineer / AI Engineer</t>
  </si>
  <si>
    <t xml:space="preserve">Latin America only</t>
  </si>
  <si>
    <t xml:space="preserve">USD or ZAR</t>
  </si>
  <si>
    <t xml:space="preserve">Fit 75 on the sweep, but the live posting's location list is Latin America only. Not eligible.</t>
  </si>
  <si>
    <t xml:space="preserve">https://jobs.ashbyhq.com/the-global-talent-co/141a52e8-050a-4761-8d5d-746f1a592efb/application</t>
  </si>
  <si>
    <t xml:space="preserve">epilot</t>
  </si>
  <si>
    <t xml:space="preserve">Integration Solutions Engineer</t>
  </si>
  <si>
    <t xml:space="preserve">German required</t>
  </si>
  <si>
    <t xml:space="preserve">EUR 80,000-100,000</t>
  </si>
  <si>
    <t xml:space="preserve">Remote EU and the highest-paying language loss on record. Du kommunizierst sicher auf Deutsch und Englisch. Recorded because the count matters to the language decision.</t>
  </si>
  <si>
    <t xml:space="preserve">https://epilot.cloud/careers</t>
  </si>
  <si>
    <t xml:space="preserve">Outreach targets - companies to approach directly</t>
  </si>
  <si>
    <t xml:space="preserve">Not job postings. These are companies where a direct message could create a role or a paid project. Nobody named here is invented: a person appears only where the company publishes their name and role on its own site, and no email address is guessed.</t>
  </si>
  <si>
    <t xml:space="preserve">What they do</t>
  </si>
  <si>
    <t xml:space="preserve">Approach as</t>
  </si>
  <si>
    <t xml:space="preserve">Why he is worth their time</t>
  </si>
  <si>
    <t xml:space="preserve">Route in (LinkedIn title to search)</t>
  </si>
  <si>
    <t xml:space="preserve">Company LinkedIn</t>
  </si>
  <si>
    <t xml:space="preserve">Published email or apply page</t>
  </si>
  <si>
    <t xml:space="preserve">What to lead with</t>
  </si>
  <si>
    <t xml:space="preserve">Watch-outs</t>
  </si>
  <si>
    <t xml:space="preserve">Source</t>
  </si>
  <si>
    <t xml:space="preserve">0hands (also trading as WeMakeFuture)</t>
  </si>
  <si>
    <t xml:space="preserve">German iPaaS and automation consultancy, certified Make Gold Partner, also delivering Zapier, Workato, Power Automate, n8n and Airtable</t>
  </si>
  <si>
    <t xml:space="preserve">Germany</t>
  </si>
  <si>
    <t xml:space="preserve">both</t>
  </si>
  <si>
    <t xml:space="preserve">They deliver on both Power Automate and n8n, so his Copilot Studio and Power Automate certification plus his production n8n agentic workflows covers two of their platform lines with one hire. Their own agency pages sell CRM and customer management automation, which is precisely the lead capture and enrichment into CRM he built at FlowSpace.</t>
  </si>
  <si>
    <t xml:space="preserve">They publish a jobs page at 0hands.com/jobs. Matthias Kunz appears on their own site as the person running consultation calls. On LinkedIn search WeMakeFuture for Automation Consultant, Make Developer or Integration Engineer.</t>
  </si>
  <si>
    <t xml:space="preserve">https://www.linkedin.com/company/wemakefuture/</t>
  </si>
  <si>
    <t xml:space="preserve">I am Power Automate and Copilot Studio certified and I have shipped n8n agents with human approval and retry logic into production, so I cover two of your platform lines at EUR 200 a day.</t>
  </si>
  <si>
    <t xml:space="preserve">Bilingual site but the client base is largely German-speaking Mittelstand, so pitch as delivery capacity behind a German-speaking lead. Two brand names in play, so confirm which entity is current before invoicing.</t>
  </si>
  <si>
    <t xml:space="preserve">0hands.com Make.com expert partner page</t>
  </si>
  <si>
    <t xml:space="preserve">AOE Group</t>
  </si>
  <si>
    <t xml:space="preserve">German digital agency and certified n8n partner building AI automation, custom n8n nodes and enterprise integration</t>
  </si>
  <si>
    <t xml:space="preserve">Wiesbaden, Germany</t>
  </si>
  <si>
    <t xml:space="preserve">Their listed n8n services are custom nodes and integrations, process and workflow design, and AI solutions. He covers all three with production evidence, and his Node.js and TypeScript background means he can write custom n8n nodes rather than only wire existing ones. Enterprise clients specifically need the retry, error handling and human-in-the-loop patterns he has already built.</t>
  </si>
  <si>
    <t xml:space="preserve">On LinkedIn search AOE for Automation Engineer, Integration Engineer or Partner Manager. No named person on the n8n partner listing.</t>
  </si>
  <si>
    <t xml:space="preserve">https://de.linkedin.com/company/aoe</t>
  </si>
  <si>
    <t xml:space="preserve">I build custom n8n integrations and agentic workflows with proper retry and error handling, and I write the surrounding Node.js and TypeScript, so you get one person instead of two.</t>
  </si>
  <si>
    <t xml:space="preserve">Their n8n listing states project budgets of USD 10,000 to over 100,000 and languages English and German, so they are enterprise-leaning and German is likely for client-facing work. They may read EUR 200 a day as too cheap to be credible, so lead with the production evidence first and the rate second.</t>
  </si>
  <si>
    <t xml:space="preserve">experts.n8n.io/partner/aoe-group</t>
  </si>
  <si>
    <t xml:space="preserve">Aticco</t>
  </si>
  <si>
    <t xml:space="preserve">Spanish coworking operator with 14 locations across Barcelona, Madrid and Valencia, including a 20,000 sqm Barcelona campus opened 2026</t>
  </si>
  <si>
    <t xml:space="preserve">Barcelona, Spain</t>
  </si>
  <si>
    <t xml:space="preserve">They have just opened the largest coworking campus in Southern Europe and are pushing into Lisbon. Growth at that rate breaks whatever manual member-onboarding and booking process worked at five sites. He built member lifecycle automation, the booking flow and AI support agents on a live coworking platform and integrated Office RnD and Nexudus, so he can wire new sites into an existing stack rather than rebuilding per location.</t>
  </si>
  <si>
    <t xml:space="preserve">Search at Aticco for Head of Technology, CTO, Product Manager, Head of Operations or Growth Manager. No executives named in the coverage found.</t>
  </si>
  <si>
    <t xml:space="preserve">https://www.linkedin.com/company/aticco</t>
  </si>
  <si>
    <t xml:space="preserve">Going from 14 locations to a 20,000 sqm campus plus Lisbon means your member onboarding and booking flow needs to scale without more front-desk headcount. That is the automation layer I built for a live coworking platform.</t>
  </si>
  <si>
    <t xml:space="preserve">Spanish and Catalan likely required internally, so freelance is the realistic route. Fast physical expansion can mean tech spend is squeezed by fit-out capex.</t>
  </si>
  <si>
    <t xml:space="preserve">coworkingeurope.net</t>
  </si>
  <si>
    <t xml:space="preserve">Cloudworks</t>
  </si>
  <si>
    <t xml:space="preserve">Spanish coworking and flexible office operator with 9 spaces in Barcelona and 2 in Madrid</t>
  </si>
  <si>
    <t xml:space="preserve">Eleven sites is exactly the size where member lifecycle admin, room booking and inbound tour enquiries are still done by hand across a shared inbox. He built lead capture and enrichment into the CRM plus outbound and sales-funnel automation for a coworking booking platform, and separately the member lifecycle automation and AI support agents, so he can address both their sales side and their operations side with one stack.</t>
  </si>
  <si>
    <t xml:space="preserve">Search at Cloudworks for Head of Marketing, Operations Manager, Head of Growth or IT Manager. Marta Gracia is identified as CEO in press coverage linked from their own pressroom at wearecloudworks.com/en/press. Verify the current title on their site before naming her.</t>
  </si>
  <si>
    <t xml:space="preserve">https://www.linkedin.com/company/wearecloudworks</t>
  </si>
  <si>
    <t xml:space="preserve">not stated, phone +34 930 18 09 15 published</t>
  </si>
  <si>
    <t xml:space="preserve">With 11 sites your tour enquiries and member onboarding are probably still a shared inbox. I built the lead capture, enrichment and CRM routing for a coworking booking platform and can do the same here in weeks, not quarters.</t>
  </si>
  <si>
    <t xml:space="preserve">Spanish and Catalan operating language. Independently owned so budget is smaller than a software vendor's, anchor at the lower end of his day rate.</t>
  </si>
  <si>
    <t xml:space="preserve">wearecloudworks.com/en/press</t>
  </si>
  <si>
    <t xml:space="preserve">Cobot</t>
  </si>
  <si>
    <t xml:space="preserve">Berlin-built coworking space management software, about 15 years old, with a public API and integrations marketplace</t>
  </si>
  <si>
    <t xml:space="preserve">Berlin, Germany</t>
  </si>
  <si>
    <t xml:space="preserve">He is one of very few people who has consumed Office RnD, Nexudus and Clubee APIs from the outside as a marketplace, so he knows precisely which endpoints and webhooks a space-management platform must expose for aggregators to plug in. That is the exact surface Cobot's dev.cobot.me API competes on. He also shipped AI support agents and member lifecycle automation on a live coworking product.</t>
  </si>
  <si>
    <t xml:space="preserve">Search at Cobot for Head of Product, Product Manager, Engineering Lead or Partnerships. Founders published by name on cobot.me/en/about: Thilo Utke, Alexander Lang, Kristina Schneider. Careers page cobot.me/en/careers.</t>
  </si>
  <si>
    <t xml:space="preserve">https://www.linkedin.com/company/cobot/</t>
  </si>
  <si>
    <t xml:space="preserve">I integrated a coworking marketplace into Office RnD, Nexudus and Clubee, and I can tell you in ten minutes which three gaps in a space-management API stop aggregators from listing your customers' inventory.</t>
  </si>
  <si>
    <t xml:space="preserve">Small independent team that hires rarely, so a posted role is unlikely and this is a genuine cold approach. German-language customer base though the product is English. Bootstrapped, so contract rates may be tight.</t>
  </si>
  <si>
    <t xml:space="preserve">cobot.me/en/about</t>
  </si>
  <si>
    <t xml:space="preserve">Copernico</t>
  </si>
  <si>
    <t xml:space="preserve">Italian serviced-office and coworking operator running buildings in seven cities including eight in Milan, plus Brussels</t>
  </si>
  <si>
    <t xml:space="preserve">Milan, Italy</t>
  </si>
  <si>
    <t xml:space="preserve">Fifteen-plus buildings across seven cities means member onboarding, meeting-room booking, invoicing and support tickets are handled by people in each building rather than by a system. He built exactly that automation layer for a live coworking platform, on top of Office RnD and Nexudus, which is the software category Copernico is almost certainly running.</t>
  </si>
  <si>
    <t xml:space="preserve">Search at Copernico for IT Manager, Head of Digital, Digital Transformation Manager, Operations Manager or Marketing Manager. No leadership named on coperni.co.</t>
  </si>
  <si>
    <t xml:space="preserve">https://www.linkedin.com/company/copernicowork/</t>
  </si>
  <si>
    <t xml:space="preserve">do NOT cold-email their published PEC address, it is Italian certified mail for legal notices. Phone published as +39 0236003764.</t>
  </si>
  <si>
    <t xml:space="preserve">Across eight Milan buildings your teams are probably doing member onboarding and room-booking admin by hand. I automated that whole layer for a live Italian coworking platform on top of Office RnD and Nexudus.</t>
  </si>
  <si>
    <t xml:space="preserve">Italian is near-certain for an employed role, so pitch this as freelance delivery. Real-estate-led business, so technology budget may sit under facilities rather than product.</t>
  </si>
  <si>
    <t xml:space="preserve">coperni.co/en/milan</t>
  </si>
  <si>
    <t xml:space="preserve">Coworkies</t>
  </si>
  <si>
    <t xml:space="preserve">Global directory of verified coworking spaces plus the sector's coworking-specific job board and a consultancy arm</t>
  </si>
  <si>
    <t xml:space="preserve">Their directory is built by hand. Their own about page says they researched 700+ coworking spaces across 60+ cities, and the job board is populated space by space. That manual supply problem is precisely what his FlowSpace scraping and parsing pipeline solved, and his lead enrichment work maps onto keeping space profiles and contacts current.</t>
  </si>
  <si>
    <t xml:space="preserve">Message the founders directly. Both are published by name and role on coworkies.com/about: Pauline Roussel, CEO and Co-founder, and Dimitar Inchev, CTO and Co-founder.</t>
  </si>
  <si>
    <t xml:space="preserve">https://www.linkedin.com/company/coworkies</t>
  </si>
  <si>
    <t xml:space="preserve">read the addresses off coworkies.com/about directly, they were masked in the fetched version</t>
  </si>
  <si>
    <t xml:space="preserve">Your directory of 700+ verified spaces looks hand-researched. I built the scraping and parsing pipeline that grew listings supply at a coworking booking platform and could automate the refresh so your team stops re-verifying by hand.</t>
  </si>
  <si>
    <t xml:space="preserve">Tiny bootstrapped company, so a salaried role is unlikely and even EUR 200 a day may be a stretch. Treat this as a relationship and referral node into the whole European coworking scene. They also run the sector job board, which makes Pauline an unusually good person to know regardless.</t>
  </si>
  <si>
    <t xml:space="preserve">coworkies.com/about</t>
  </si>
  <si>
    <t xml:space="preserve">Deskimo</t>
  </si>
  <si>
    <t xml:space="preserve">On-demand workspace booking app where users pay by the minute, YC S21, expanding from Asia into Europe</t>
  </si>
  <si>
    <t xml:space="preserve">Singapore, with European operations including Germany</t>
  </si>
  <si>
    <t xml:space="preserve">Pay-per-minute means check-in, availability and billing have to be correct in real time against whatever system each partner space runs. He built the booking flow on a live coworking marketplace and the integrations into Office RnD, Nexudus and Clubee, the exact connectors Deskimo needs as it adds European partner spaces, since European operators run on that software rather than the Asian stack.</t>
  </si>
  <si>
    <t xml:space="preserve">Search at Deskimo for Head of Supply, Partnerships Manager, Country Manager Europe, Head of Expansion or Software Engineer. No individual confirmed published on their own site.</t>
  </si>
  <si>
    <t xml:space="preserve">https://www.linkedin.com/company/deskimoapp</t>
  </si>
  <si>
    <t xml:space="preserve">As you add European partner spaces you will hit Office RnD, Nexudus and Clubee. I have already built and run live integrations with all three from the marketplace side.</t>
  </si>
  <si>
    <t xml:space="preserve">Singapore HQ and APAC-centric, so timezone overlap is limited and employment would likely be contract rather than an EU role. The European push is recent so the team on the ground may be thin.</t>
  </si>
  <si>
    <t xml:space="preserve">deskimo.com, ycombinator.com</t>
  </si>
  <si>
    <t xml:space="preserve">Digitalcube</t>
  </si>
  <si>
    <t xml:space="preserve">Official n8n Partner in Spain doing n8n consulting, implementation, training and support alongside AWS infrastructure</t>
  </si>
  <si>
    <t xml:space="preserve">Mostoles, Madrid, Spain</t>
  </si>
  <si>
    <t xml:space="preserve">As an official n8n partner their whole book of business is n8n delivery, and he has run n8n agentic workflows with human-in-the-loop steps, tool definitions and retry logic in production rather than as demos. He also brings Supabase, Postgres and REST plus Next.js and Laravel, so he can absorb the parts of a client project that fall outside the n8n canvas.</t>
  </si>
  <si>
    <t xml:space="preserve">On LinkedIn search Digitalcube AI for n8n Consultant, Automation Engineer or Head of Delivery. No named person published on their site.</t>
  </si>
  <si>
    <t xml:space="preserve">https://www.linkedin.com/company/digitalcubeai/</t>
  </si>
  <si>
    <t xml:space="preserve">sales@digitalcube.ai</t>
  </si>
  <si>
    <t xml:space="preserve">I have shipped n8n agents with human approval steps and retry handling into a live product, and at EUR 200 a day I am well under EU agency contractor rates for overflow delivery.</t>
  </si>
  <si>
    <t xml:space="preserve">Spanish-first market and he has no Spanish, so position as build capacity behind a Spanish-speaking account lead rather than a client-facing consultant.</t>
  </si>
  <si>
    <t xml:space="preserve">digitalcube.ai official n8n partner page</t>
  </si>
  <si>
    <t xml:space="preserve">Flexas.com</t>
  </si>
  <si>
    <t xml:space="preserve">Office and flexible workspace marketplace and brokerage across 10+ European countries including Italy</t>
  </si>
  <si>
    <t xml:space="preserve">Amsterdam, Netherlands</t>
  </si>
  <si>
    <t xml:space="preserve">Flexas is a listings marketplace whose revenue depends on the two things he personally owned at FlowSpace: keeping a large multi-country listings database fresh, and converting inbound demand. He built the scraping and parsing pipeline that grew listings supply, and separately built lead capture and enrichment straight into the CRM plus outbound and sales-funnel automation.</t>
  </si>
  <si>
    <t xml:space="preserve">Search at Flexas.com for CEO, Head of Marketing, Operations Manager or Product Owner. Marcel de Groot is published as CEO on flexas.com/about-us.</t>
  </si>
  <si>
    <t xml:space="preserve">https://www.linkedin.com/company/flexas</t>
  </si>
  <si>
    <t xml:space="preserve">not stated, phone +31 85 485 21 84 published</t>
  </si>
  <si>
    <t xml:space="preserve">At a coworking booking marketplace I built the listings scraping pipeline and the lead capture and enrichment flow into the CRM. For a 13-person brokerage covering 10 countries that is the highest-leverage automation you can buy.</t>
  </si>
  <si>
    <t xml:space="preserve">Dutch home market and much of the site is Dutch, so an employed role may want Dutch. The freelance angle is safer. Brokerage rather than product company, so there may be no engineering function to join.</t>
  </si>
  <si>
    <t xml:space="preserve">flexas.com/about-us</t>
  </si>
  <si>
    <t xml:space="preserve">Impact Hub</t>
  </si>
  <si>
    <t xml:space="preserve">Global federated network of impact-focused coworking hubs with a large European footprint including Impact Hub Milano</t>
  </si>
  <si>
    <t xml:space="preserve">Federated; hubs are independently owned</t>
  </si>
  <si>
    <t xml:space="preserve">A federated network means every hub runs its own tooling and the network office keeps trying to standardise. He has built the standard pieces for a live coworking product and connected them across Office RnD, Nexudus and Clubee, so he can build one automation template hubs adopt rather than a bespoke build per city. Starting with Impact Hub Milano gives him an in-country, in-person first conversation.</t>
  </si>
  <si>
    <t xml:space="preserve">Start local: search at Impact Hub Milano for Community Manager, Head of Operations or Managing Director. For the network, search Impact Hub Network for Head of Technology, Product Manager or Network Services.</t>
  </si>
  <si>
    <t xml:space="preserve">https://www.linkedin.com/company/impacthubmilano and https://www.linkedin.com/company/impacthubnetwork</t>
  </si>
  <si>
    <t xml:space="preserve">I built the booking and member lifecycle automation for a live coworking platform on top of Office RnD and Nexudus. Packaged as a template, that is something individual Hubs could each switch on rather than each rebuilding.</t>
  </si>
  <si>
    <t xml:space="preserve">Federated and non-profit-leaning, so no central budget and each hub decides alone. Expect long cycles and small budgets. Milano is the sensible entry point given he is in Italy.</t>
  </si>
  <si>
    <t xml:space="preserve">impacthub.net/locations</t>
  </si>
  <si>
    <t xml:space="preserve">Makeitfuture</t>
  </si>
  <si>
    <t xml:space="preserve">Make.com certified Platinum Partner delivering workflow automation and AI integration on Make, n8n and Zapier</t>
  </si>
  <si>
    <t xml:space="preserve">Cluj-Napoca, Romania, with London and Paris offices</t>
  </si>
  <si>
    <t xml:space="preserve">They sell n8n automation services, n8n app development and platform migrations. He did the hardest version of that at FlowSpace: a Bubble.io to Next.js and Laravel migration on a live product that kept serving users while it grew from 2,000 to 4,500+. He can take a migration or an agentic n8n build end to end including the app around it, which their Make-first consultants cannot.</t>
  </si>
  <si>
    <t xml:space="preserve">Better than a cold message: their partner application page at makeitfuture.com/partners. On LinkedIn search for Automation Consultant, Delivery Manager or Partnerships Manager.</t>
  </si>
  <si>
    <t xml:space="preserve">https://www.linkedin.com/company/makeitfuture/</t>
  </si>
  <si>
    <t xml:space="preserve">contact@makeitfuture.eu</t>
  </si>
  <si>
    <t xml:space="preserve">I ship n8n agentic workflows with human-in-the-loop approval and retry handling in production, and I can also build the Next.js or Laravel app around them, at EUR 200 a day.</t>
  </si>
  <si>
    <t xml:space="preserve">Registration appears UK-based, so an employed role could land in the UK entity and need sponsorship. Push for the Romanian or French entity, or go freelance. Confirm they contract with an individual Partita IVA.</t>
  </si>
  <si>
    <t xml:space="preserve">makeitfuture.com Make.com expert partner page</t>
  </si>
  <si>
    <t xml:space="preserve">Nebor</t>
  </si>
  <si>
    <t xml:space="preserve">Amsterdam GTM agency building full go-to-market revenue engines covering outbound, inbound, intent data and RevOps, with Clay at the centre</t>
  </si>
  <si>
    <t xml:space="preserve">A two-person Clay agency runs out of build capacity long before it runs out of demand. His FlowSpace work is their exact deliverable: lead capture and enrichment into the CRM, outbound and sales-funnel automation, and a scraping and parsing pipeline. He adds n8n as the orchestration layer under Clay, plus the ability to build an internal app when a client outgrows the no-code stack.</t>
  </si>
  <si>
    <t xml:space="preserve">On LinkedIn search Nebor for Founder, GTM Engineer or Growth Engineer. Andrew van Rossenberg and Yannick Kok are named as the two founders on Nebor's own blog.</t>
  </si>
  <si>
    <t xml:space="preserve">not stated, use LinkedIn people search</t>
  </si>
  <si>
    <t xml:space="preserve">I built lead capture, enrichment into CRM and outbound automation plus the scraping pipeline behind them at a live platform, and I can sit under your Clay stack at EUR 200 a day.</t>
  </si>
  <si>
    <t xml:space="preserve">Two-person shop, so a salaried hire is unlikely and cash is tight. Pitch overflow delivery, not a job. Verify they can pay an Italian sole trader.</t>
  </si>
  <si>
    <t xml:space="preserve">nebor.ai</t>
  </si>
  <si>
    <t xml:space="preserve">STX Next</t>
  </si>
  <si>
    <t xml:space="preserve">Polish software house of 500+ engineers offering enterprise n8n development, AI development, data engineering and custom software</t>
  </si>
  <si>
    <t xml:space="preserve">Poznan, Poland</t>
  </si>
  <si>
    <t xml:space="preserve">They market Enterprise n8n Development for secure agents and high-volume workflows, which is the exact class of work he has shipped: agentic n8n with retries, error handling and human approval steps. He also brings the full-stack layer their client projects need in Next.js, React, Node and Laravel, so he is billable across two practice lines.</t>
  </si>
  <si>
    <t xml:space="preserve">Careers at career.stxnext.com. On LinkedIn search STX Next for AI Engineer, Automation Engineer or Delivery Manager.</t>
  </si>
  <si>
    <t xml:space="preserve">https://www.linkedin.com/company/stx-next-ai-solutions</t>
  </si>
  <si>
    <t xml:space="preserve">business@stxnext.com</t>
  </si>
  <si>
    <t xml:space="preserve">I have production n8n agent workflows with retries, error handling and human approval steps behind them, plus Next.js and Laravel, so I can staff both your n8n and your app work.</t>
  </si>
  <si>
    <t xml:space="preserve">Large enough to behave like a staffing house on some accounts. Polish salary bands may sit at or below his target for an employed role, so the freelance route is stronger. Confirm B2B contracting with an Italian Partita IVA.</t>
  </si>
  <si>
    <t xml:space="preserve">stxnext.com</t>
  </si>
  <si>
    <t xml:space="preserve">Saleslift Studio</t>
  </si>
  <si>
    <t xml:space="preserve">Amsterdam B2B outbound agency designing and executing outbound prospecting, sales development and appointment setting for clients</t>
  </si>
  <si>
    <t xml:space="preserve">They already employ people with the exact job title Go-to-Market Engineer, so the function exists and at 13 people it is thin. His FlowSpace work is that job: lead capture and enrichment into the CRM, outbound and sales-funnel automation, and a scraping and parsing pipeline. On top of that he can build the internal tooling in Next.js and Laravel that an agency of that size normally has to buy.</t>
  </si>
  <si>
    <t xml:space="preserve">Careers page at salesliftstudio.com/en/careers. On LinkedIn search Saleslift Studio for the job title Go-to-Market Engineer. Their about page names Terry van den Bemt and Davy Guijt as founders, and Noor van der Plas and Sophie Appels as Go-to-Market Engineers.</t>
  </si>
  <si>
    <t xml:space="preserve">https://www.linkedin.com/company/saleslift-studio/</t>
  </si>
  <si>
    <t xml:space="preserve">hello@salesliftstudio.com</t>
  </si>
  <si>
    <t xml:space="preserve">I have done the GTM engineer job in-house: lead capture, CRM enrichment, outbound automation and the scraping pipeline feeding it, and I can build the internal tools around it too.</t>
  </si>
  <si>
    <t xml:space="preserve">Dutch market with a Dutch site option, so some client work will be in Dutch. Sell the engineering seat, not the client-facing one. Team of about 13 means headcount is limited, though a EUR 30,000-40,000 salary is realistic there.</t>
  </si>
  <si>
    <t xml:space="preserve">salesliftstudio.com/en/about-us</t>
  </si>
  <si>
    <t xml:space="preserve">Spacebring (formerly andcards)</t>
  </si>
  <si>
    <t xml:space="preserve">White-label coworking space management and member app software sold to operators worldwide</t>
  </si>
  <si>
    <t xml:space="preserve">not stated on their own site; incorporated 2017</t>
  </si>
  <si>
    <t xml:space="preserve">Spacebring sells a white-label member app, so their customers' switching decision turns on whether the app automates the member lifecycle and answers members without staff. He built AI support agents and member lifecycle automation on a live coworking product using OpenAI and Anthropic APIs orchestrated in n8n with tool definitions and human-in-the-loop, while sitting on top of Office RnD and Nexudus. He knows what operators actually leave those platforms for.</t>
  </si>
  <si>
    <t xml:space="preserve">Search at Spacebring for Head of Product, Product Manager, Customer Success Manager, Partnerships Manager or Solutions Engineer. No individuals are named on spacebring.com/about.</t>
  </si>
  <si>
    <t xml:space="preserve">https://www.linkedin.com/company/spacebring</t>
  </si>
  <si>
    <t xml:space="preserve">sales@spacebring.com, published on spacebring.com/about</t>
  </si>
  <si>
    <t xml:space="preserve">I built the AI support agent and member lifecycle automation for a coworking platform that ran on Office RnD and Nexudus, so I can tell you which member-app gaps operators actually churn over.</t>
  </si>
  <si>
    <t xml:space="preserve">HQ and headcount not published anywhere on their own site. Rebranded from andcards in 2024, so older references use the old name. Verify they can contract an EU sole trader.</t>
  </si>
  <si>
    <t xml:space="preserve">spacebring.com/about</t>
  </si>
  <si>
    <t xml:space="preserve">Spacent</t>
  </si>
  <si>
    <t xml:space="preserve">Flexible workspace network giving companies access to 1,000+ coworking spaces across the Nordics, UK and continental Europe</t>
  </si>
  <si>
    <t xml:space="preserve">Helsinki, Finland</t>
  </si>
  <si>
    <t xml:space="preserve">Spacent's whole business is supply: onboarding 1,000+ third-party spaces and keeping availability accurate. That is literally what he did at FlowSpace. He built the scraping and parsing pipeline that grew listings supply and took the platform from 2,000 to 4,500+ users, and he wrote the live integrations into Office RnD, Nexudus and Clubee, the three systems a network like this has to sync against to know whether a desk is actually free.</t>
  </si>
  <si>
    <t xml:space="preserve">Search at Spacent for Head of Supply, Partnerships Manager, Head of Product, Product Manager or Software Engineer. No individual is named on their site, so do not guess one.</t>
  </si>
  <si>
    <t xml:space="preserve">https://www.linkedin.com/company/spacent/</t>
  </si>
  <si>
    <t xml:space="preserve">hello@spacent.com and support@spacent.com, both published in the footer of spacent.com/news</t>
  </si>
  <si>
    <t xml:space="preserve">I built the supply-side scraping and parsing pipeline plus the Office RnD, Nexudus and Clubee integrations at a coworking booking marketplace, so I know exactly where partner availability data goes stale and how to fix it.</t>
  </si>
  <si>
    <t xml:space="preserve">Nordics-weighted so some roles may prefer Finnish or Swedish, though the product and site are English. Company size not published, so contractor budget is unverified.</t>
  </si>
  <si>
    <t xml:space="preserve">spacent.com/news</t>
  </si>
  <si>
    <t xml:space="preserve">Talent Garden</t>
  </si>
  <si>
    <t xml:space="preserve">Italian coworking and digital-education campus network, expanding internationally again with a second Vilnius campus</t>
  </si>
  <si>
    <t xml:space="preserve">He is in Italy, in the industry, and has done what a campus network needs: member lifecycle automation and a booking flow on a live coworking product, plus AI support agents that answer members without adding front-desk staff. He also led a Bubble.io to Next.js and Laravel migration on a live product without taking it down, which is the exact risk profile of modernising a campus booking and membership system already in daily use.</t>
  </si>
  <si>
    <t xml:space="preserve">Search at Talent Garden for Head of Product, Product Manager, Head of Digital, IT Manager, CTO or Operations Manager. Founder Davide Dattoli is widely published but verify his current role before referencing him.</t>
  </si>
  <si>
    <t xml:space="preserve">https://www.linkedin.com/company/talentgarden</t>
  </si>
  <si>
    <t xml:space="preserve">I automated the member lifecycle and rebuilt the booking flow for a live coworking platform in Italy, and migrated it from Bubble to Next.js and Laravel without downtime.</t>
  </si>
  <si>
    <t xml:space="preserve">Italian is likely expected internally and he is English only, so lead with the freelance angle where written English is enough. The company has leaned heavily into education and training, so coworking tech may not be where budget sits. Multiple LinkedIn pages exist, so confirm the right one.</t>
  </si>
  <si>
    <t xml:space="preserve">coworkingeurope.net, talentgarden.com</t>
  </si>
  <si>
    <t xml:space="preserve">Workfloows</t>
  </si>
  <si>
    <t xml:space="preserve">n8n Expert Partner building production workflows, AI and LLM agents, APIs and managed data feeds for e-commerce pricing, job listings and real estate</t>
  </si>
  <si>
    <t xml:space="preserve">Poland</t>
  </si>
  <si>
    <t xml:space="preserve">Their managed data feed products are scraping and parsing pipelines run at scale, which is exactly what he built at FlowSpace. They also sell AI and LLM agents plus API development, mapping onto his n8n agentic workflows and Node.js work. Their site is English-first so there is no language barrier at all.</t>
  </si>
  <si>
    <t xml:space="preserve">On LinkedIn search Workfloows for n8n Developer, Automation Engineer or Founder. Their homepage names Oskar (first name only, n8n Community Award winner) and Benji as contacts. Do not guess surnames.</t>
  </si>
  <si>
    <t xml:space="preserve">https://linkedin.com/company/workfloows</t>
  </si>
  <si>
    <t xml:space="preserve">contact@workfloows.com</t>
  </si>
  <si>
    <t xml:space="preserve">I built the scraping and parsing pipeline plus the n8n agents behind a booking platform that grew from 2,000 to 4,500+ users, and I take overflow delivery at EUR 200 a day.</t>
  </si>
  <si>
    <t xml:space="preserve">Small team so budgets are tight, and against a Polish cost base EUR 200 a day is competitive rather than a bargain. No careers page, so this is a direct founder approach.</t>
  </si>
  <si>
    <t xml:space="preserve">workfloows.com</t>
  </si>
  <si>
    <t xml:space="preserve">Zapfloor</t>
  </si>
  <si>
    <t xml:space="preserve">Workspace management software for coworking spaces, serviced offices and corporate workplaces, positioning as number one in Europe</t>
  </si>
  <si>
    <t xml:space="preserve">Antwerp, Belgium</t>
  </si>
  <si>
    <t xml:space="preserve">Zapfloor's homepage sells on connecting calendar, access control, accounting and HR systems. Integration breadth is their differentiator and it is the thing that quietly eats an engineering roadmap. He has built that class of work end to end: live Office RnD, Nexudus and Clubee integrations, REST and webhook plumbing, and n8n agentic workflows with retries and human-in-the-loop for when a sync fails rather than silently dropping a booking.</t>
  </si>
  <si>
    <t xml:space="preserve">Search at Zapfloor for Head of Product, Product Manager, Integrations, CTO or Customer Success Manager. No leadership names are published on zapfloor.com, so do not name anyone.</t>
  </si>
  <si>
    <t xml:space="preserve">https://www.linkedin.com/company/zapfloorhq</t>
  </si>
  <si>
    <t xml:space="preserve">not stated, contact form only</t>
  </si>
  <si>
    <t xml:space="preserve">Your homepage promises integrations with calendar, access control, accounting and HR. I have built and maintained exactly that layer for a live coworking product across Office RnD, Nexudus and Clubee, and I can take the long tail of connectors off your core team.</t>
  </si>
  <si>
    <t xml:space="preserve">Flemish and Dutch home market so internal roles may want Dutch, although the product is English. Post-seed size means one hire at a time. Confirm they will contract with an Italian Partita IVA.</t>
  </si>
  <si>
    <t xml:space="preserve">zapfloor.com, siliconcanals.com</t>
  </si>
  <si>
    <t xml:space="preserve">atlantis dx</t>
  </si>
  <si>
    <t xml:space="preserve">German digital agency and Make Certified Silver Partner offering consulting, implementation and ongoing development of workflow automation</t>
  </si>
  <si>
    <t xml:space="preserve">Hamburg and Munich, Germany</t>
  </si>
  <si>
    <t xml:space="preserve">Their Make page does not mention n8n at all, so he brings a platform they currently do not cover, backed by production work rather than demos: agentic n8n workflows with human-in-the-loop approvals and retry handling. He also writes Next.js, React and Laravel, which lets them say yes to the parts of a client brief Make cannot reach.</t>
  </si>
  <si>
    <t xml:space="preserve">Dario Waechter is published on their own site as Management and Partner, and is the named contact for Make services. On LinkedIn search atlantis dx for Automation Consultant or Solution Architect.</t>
  </si>
  <si>
    <t xml:space="preserve">https://www.linkedin.com/company/atlantisdx</t>
  </si>
  <si>
    <t xml:space="preserve">info@atlantisdx.de</t>
  </si>
  <si>
    <t xml:space="preserve">You sell Make but not n8n. I run production n8n agents with human approval and retry logic, and I can build the custom app when the no-code stack runs out, at EUR 200 a day.</t>
  </si>
  <si>
    <t xml:space="preserve">German agency, English site available but client delivery will be in German, so sell the build seat not the client-facing one. Silver rather than Gold partner, so deal volume may be modest.</t>
  </si>
  <si>
    <t xml:space="preserve">atlantisdx.de Make technology page</t>
  </si>
  <si>
    <t xml:space="preserve">Ace Workflow</t>
  </si>
  <si>
    <t xml:space="preserve">Operations automation agency building AI agents and workflow automation inside clients' existing tools including Airtable, Slack, HubSpot, Zapier, Make and n8n</t>
  </si>
  <si>
    <t xml:space="preserve">Distributed, offices listed as New York, Los Angeles, Portland, London, Lagos and Lisbon</t>
  </si>
  <si>
    <t xml:space="preserve">freelance client</t>
  </si>
  <si>
    <t xml:space="preserve">They publish operational case studies with hard numbers, so they sell outcomes not tool logos. His production n8n agents with human approval steps and retry handling, plus Airtable, Supabase and Postgres experience, covers their stack directly, and EUR 200 a day sits far under what their US offices bill.</t>
  </si>
  <si>
    <t xml:space="preserve">Careers at aceworkflow.io/company/careers and contact at aceworkflow.io/company/contact. On LinkedIn search Ace Workflow for Automation Engineer, Solutions Engineer or Delivery Lead.</t>
  </si>
  <si>
    <t xml:space="preserve">https://www.linkedin.com/company/ace-workflow</t>
  </si>
  <si>
    <t xml:space="preserve">I build the same outcome-led automations you publish case studies about, in n8n with human-in-the-loop and retries, from the EU at EUR 200 a day.</t>
  </si>
  <si>
    <t xml:space="preserve">Heavily US-facing with US time zones, so a European employed role is unlikely. Freelance only. Confirm they can contract with an Italian sole trader.</t>
  </si>
  <si>
    <t xml:space="preserve">aceworkflow.io</t>
  </si>
  <si>
    <t xml:space="preserve">Archie</t>
  </si>
  <si>
    <t xml:space="preserve">Coworking and hybrid-office management software, a direct competitor to OfficeRnD and Nexudus</t>
  </si>
  <si>
    <t xml:space="preserve">Canada</t>
  </si>
  <si>
    <t xml:space="preserve">Archie's growth depends on winning switchers off OfficeRnD and Nexudus and migrating their data cleanly. He has worked against both platforms from the marketplace side via live integrations, and executed a Bubble.io to Next.js and Laravel migration on a live product, so he can build migration tooling and connectors for incoming customers. That unglamorous work decides whether a switch closes.</t>
  </si>
  <si>
    <t xml:space="preserve">Search at Archie for Head of Product, Product Manager, Solutions Engineer, Head of Customer Success or Partnerships. No leadership verified on archieapp.co.</t>
  </si>
  <si>
    <t xml:space="preserve">https://www.linkedin.com/company/archieapp</t>
  </si>
  <si>
    <t xml:space="preserve">Every OfficeRnD or Nexudus customer you win has to get their member and billing data across. I have built live integrations with both from the outside and can turn that into repeatable migration tooling.</t>
  </si>
  <si>
    <t xml:space="preserve">North American HQ so no EU employment route and no sponsorship. Freelance only, invoiced from Italy. Timezone overlap limited to his afternoons.</t>
  </si>
  <si>
    <t xml:space="preserve">archieapp.co</t>
  </si>
  <si>
    <t xml:space="preserve">DecodifAI</t>
  </si>
  <si>
    <t xml:space="preserve">Netherlands-based studio building AI workflow automation, AI agents and team training, with n8n in its stated toolkit</t>
  </si>
  <si>
    <t xml:space="preserve">Netherlands</t>
  </si>
  <si>
    <t xml:space="preserve">A founder-led AI automation shop has to subcontract the moment two projects land at once, and it has nobody to hand the hard builds to. He brings production n8n agentic workflows with human-in-the-loop and retry logic rather than demo automations, plus Next.js and Laravel so nothing in a client brief has to be turned down.</t>
  </si>
  <si>
    <t xml:space="preserve">On LinkedIn search DecodifAI for Founder or AI Automation Consultant. Oscar Allington is published as Founder on the company website.</t>
  </si>
  <si>
    <t xml:space="preserve">https://www.linkedin.com/company/decodifai</t>
  </si>
  <si>
    <t xml:space="preserve">You are the bottleneck on your own delivery. I build production n8n agents with human approval and retry logic, and the app around them, at EUR 200 a day.</t>
  </si>
  <si>
    <t xml:space="preserve">Very small and possibly solo, so budgets are limited and this is overflow work at best. They target Dutch businesses, so client-facing Dutch may be expected. Their site content also surfaced under a second domain, so verify which brand is current.</t>
  </si>
  <si>
    <t xml:space="preserve">company homepage and a Netherlands agency directory</t>
  </si>
  <si>
    <t xml:space="preserve">Easy8</t>
  </si>
  <si>
    <t xml:space="preserve">n8n Expert Partner and Verified Creator building custom AI agents, complex n8n workflows and enterprise integration, specialising in Microsoft environments</t>
  </si>
  <si>
    <t xml:space="preserve">United Kingdom</t>
  </si>
  <si>
    <t xml:space="preserve">They posted publicly on the n8n community forum asking for n8n experts and collaborators, so the door is already open. Their Microsoft-environment specialism lines up exactly with his Copilot Studio and Power Automate certification, and his production n8n agents with human-in-the-loop and retries are the complex n8n workflows they sell.</t>
  </si>
  <si>
    <t xml:space="preserve">Reply on the open thread at community.n8n.io/t/easy8-is-looking-for-n8n-experts-collaborators/224117 where the post says to write in the comments. Also book via easy8.ai/contact.</t>
  </si>
  <si>
    <t xml:space="preserve">not stated, booking form only</t>
  </si>
  <si>
    <t xml:space="preserve">I saw your call for n8n collaborators. I build production n8n agents with human-in-the-loop and retry handling and I am Microsoft Copilot Studio and Power Automate certified, at EUR 200 a day.</t>
  </si>
  <si>
    <t xml:space="preserve">UK based so employment needs sponsorship. Freelance only. The collaborator post is dated November 2025, so confirm it is still live. Confirm they can pay an Italian sole trader.</t>
  </si>
  <si>
    <t xml:space="preserve">experts.n8n.io/partner/easy8 and n8n community thread 224117</t>
  </si>
  <si>
    <t xml:space="preserve">Goodspeed Studio</t>
  </si>
  <si>
    <t xml:space="preserve">No-code and AI product agency, Bubble Agency of the Year partner, that also does n8n development, web apps and SaaS builds</t>
  </si>
  <si>
    <t xml:space="preserve">London, UK</t>
  </si>
  <si>
    <t xml:space="preserve">The single strongest match on the agency list. They are a Bubble-first agency and their clients inevitably outgrow Bubble. He led exactly that exit: a Bubble.io to Next.js and Laravel migration on a live product. Add n8n development, which they also sell, and he covers both the migration and the automation layer, which almost none of their freelancers will.</t>
  </si>
  <si>
    <t xml:space="preserve">They run an open freelancer application at goodspeed.studio/apply, which beats a cold message. Harish Malhi is named as the contact on their own contact page.</t>
  </si>
  <si>
    <t xml:space="preserve">https://www.linkedin.com/company/goodspeed-studio/</t>
  </si>
  <si>
    <t xml:space="preserve">harish@goodspeed.studio, published on goodspeed.studio/contact</t>
  </si>
  <si>
    <t xml:space="preserve">I migrated a live Bubble.io product to Next.js and Laravel while it kept serving 4,500+ users, and I build the n8n automations that sit behind it, at EUR 200 a day.</t>
  </si>
  <si>
    <t xml:space="preserve">UK based so employment needs sponsorship. Freelance only. Confirm they can pay an Italian individual Partita IVA and do not require a limited company.</t>
  </si>
  <si>
    <t xml:space="preserve">goodspeed.studio/contact</t>
  </si>
  <si>
    <t xml:space="preserve">Huckletree</t>
  </si>
  <si>
    <t xml:space="preserve">UK and Ireland coworking operator with hubs in London, Manchester and Dublin, focused on tech and innovation members</t>
  </si>
  <si>
    <t xml:space="preserve">They are opening new London hubs while a subsidiary went into administration, so the group is under pressure to run more sites with the same overhead. He built AI support agents and member lifecycle automation for a live coworking platform plus lead capture and enrichment into the CRM, the two things that let an operator add locations without adding community and sales headcount per site.</t>
  </si>
  <si>
    <t xml:space="preserve">Search at Huckletree for Head of Operations, Head of Growth, Head of Marketing or Community Director. No individual verified for this purpose.</t>
  </si>
  <si>
    <t xml:space="preserve">https://www.linkedin.com/company/huckletree</t>
  </si>
  <si>
    <t xml:space="preserve">Opening new hubs without scaling headcount per site is an automation problem. I built the member lifecycle automation and AI support agent for a live coworking platform that did exactly that.</t>
  </si>
  <si>
    <t xml:space="preserve">UK employment needs sponsorship he does not have, and their Dublin site is in Ireland which opted out of the directive, so this is freelance-from-Italy only. Administrators were appointed at a subsidiary, so check group financial health and payment terms first.</t>
  </si>
  <si>
    <t xml:space="preserve">bisnow.com, coworkingeurope.net</t>
  </si>
  <si>
    <t xml:space="preserve">Leapforce</t>
  </si>
  <si>
    <t xml:space="preserve">HubSpot Diamond Solutions Partner for the Benelux, connecting marketing, sales and service systems</t>
  </si>
  <si>
    <t xml:space="preserve">speculative job</t>
  </si>
  <si>
    <t xml:space="preserve">HubSpot partners at Diamond tier constantly get pulled into custom integration work their marketing consultants cannot deliver. He built lead capture and enrichment into a CRM plus sales-funnel automation, and he can write the middleware in Node, Laravel or n8n over REST APIs and webhooks instead of stopping where HubSpot's native features stop.</t>
  </si>
  <si>
    <t xml:space="preserve">Careers page at leapforce.nl/werken-bij. On LinkedIn search Leapforce for Marketing Automation Specialist, HubSpot Consultant or Developer.</t>
  </si>
  <si>
    <t xml:space="preserve">https://nl.linkedin.com/company/leapforce-nl</t>
  </si>
  <si>
    <t xml:space="preserve">I build the custom integration layer HubSpot consultants hand off: CRM enrichment, webhook and REST plumbing, and n8n or Laravel middleware that keeps the funnel data clean.</t>
  </si>
  <si>
    <t xml:space="preserve">Weakest language fit on this list. Site and careers page are in Dutch and the market is Benelux, so this only works for a technical integration seat where English is enough. Confirm they run any English-language engineering roles before investing time.</t>
  </si>
  <si>
    <t xml:space="preserve">leapforce.nl</t>
  </si>
  <si>
    <t xml:space="preserve">Morning</t>
  </si>
  <si>
    <t xml:space="preserve">France's second-largest coworking operator, 50+ locations in the Paris region with a 20,000 sqm expansion planned for 2026</t>
  </si>
  <si>
    <t xml:space="preserve">Paris, France</t>
  </si>
  <si>
    <t xml:space="preserve">Fifty-plus sites with more coming is the scale at which member onboarding, room booking and support tickets must be systematised or they consume the operations team. He built the booking flow, member lifecycle automation and AI support agents on a live coworking product and connected it to Office RnD, Nexudus and Clubee, so he arrives knowing what the multi-site data model has to look like rather than discovering it on their budget.</t>
  </si>
  <si>
    <t xml:space="preserve">Search at Morning for Head of Product, CTO, Directeur Technique, Head of Operations or Product Manager. Confirm the correct company page via morning.fr first, the name is generic.</t>
  </si>
  <si>
    <t xml:space="preserve">verify via morning.fr, multiple unrelated LinkedIn pages share the name</t>
  </si>
  <si>
    <t xml:space="preserve">At 50+ Paris sites the booking and member lifecycle layer either scales or eats your ops team. I built and integrated exactly that on a live coworking platform running on Office RnD and Nexudus.</t>
  </si>
  <si>
    <t xml:space="preserve">Strongest language risk on the coworking list. French is near-certain for any internal role and probably for delivery too. Lower priority than the Italian and Spanish operators.</t>
  </si>
  <si>
    <t xml:space="preserve">coworkingeurope.net, morning.fr</t>
  </si>
  <si>
    <t xml:space="preserve">Netguru</t>
  </si>
  <si>
    <t xml:space="preserve">Polish product design and software development consultancy running an open freelance talent marketplace</t>
  </si>
  <si>
    <t xml:space="preserve">Their talent marketplace page states the basis of cooperation is a B2B contract, preferably sole proprietorship, registered by the freelancer. That is exactly his Italian individual Partita IVA, and it removes the limited-company blocker that kills most of these routes. They run AI engineer and senior Node.js full-stack gigs, and he covers AI automation plus Next.js, React, Node and TypeScript on one invoice.</t>
  </si>
  <si>
    <t xml:space="preserve">Apply directly at netguru.com/join-talent-marketplace. On LinkedIn search Netguru for Talent Acquisition Specialist, Talent Partner or AI Engineer.</t>
  </si>
  <si>
    <t xml:space="preserve">https://www.linkedin.com/company/netguru</t>
  </si>
  <si>
    <t xml:space="preserve">hello@netguru.com</t>
  </si>
  <si>
    <t xml:space="preserve">I am an Italian-registered sole trader available for B2B gigs at EUR 200 a day, covering AI and n8n automation plus Next.js, React and Node full-stack.</t>
  </si>
  <si>
    <t xml:space="preserve">A bench and marketplace model, closer to staffing than an agency partnership. Projects run around six months, paid monthly on invoice within 14 working days, so cash flow is slow. Several listings require German or Polish, so filter for English-only briefs.</t>
  </si>
  <si>
    <t xml:space="preserve">netguru.com/join-talent-marketplace</t>
  </si>
  <si>
    <t xml:space="preserve">Optix</t>
  </si>
  <si>
    <t xml:space="preserve">Coworking and flexible workspace management platform with a white-label member app, formerly SharedDesk</t>
  </si>
  <si>
    <t xml:space="preserve">Vancouver, Canada</t>
  </si>
  <si>
    <t xml:space="preserve">Optix sells a branded member app to operators, so the value sits in what the app automates rather than the booking screen. He built AI support agents on OpenAI and Anthropic APIs orchestrated through n8n with tool definitions, retries and human-in-the-loop, running against real coworking member data, plus the member lifecycle automation around it. That is a feature area an app company usually has to buy in.</t>
  </si>
  <si>
    <t xml:space="preserve">Search at Optix for Head of Product, Product Manager, Solutions Engineer or Head of Customer Success. Their LinkedIn page still carries the SharedDesk slug.</t>
  </si>
  <si>
    <t xml:space="preserve">https://www.linkedin.com/company/sharedesk</t>
  </si>
  <si>
    <t xml:space="preserve">I shipped AI support agents into a live coworking product with human-in-the-loop escalation, so members get answered without your operators adding front-desk headcount.</t>
  </si>
  <si>
    <t xml:space="preserve">Canada HQ, no EU employment route. Freelance only. Pacific timezone is a poor overlap with Italy. Confirm the LinkedIn page is current given the legacy slug.</t>
  </si>
  <si>
    <t xml:space="preserve">g2.com/products/optix</t>
  </si>
  <si>
    <t xml:space="preserve">Roboyo</t>
  </si>
  <si>
    <t xml:space="preserve">Hyperautomation and intelligent automation consultancy delivering RPA, AI implementation and business process automation for enterprise clients</t>
  </si>
  <si>
    <t xml:space="preserve">Germany, offices in 24 cities across 15 countries</t>
  </si>
  <si>
    <t xml:space="preserve">Their delivery model is consultants who implement automation inside client environments, and he has done that end to end at a product company: AI support agents, CRM lead capture and enrichment, outbound automation, a scraping pipeline and a live platform migration. His Copilot Studio and Power Automate certification maps directly onto their Microsoft automation practice.</t>
  </si>
  <si>
    <t xml:space="preserve">Careers at roboyo.global/careers plus their EU Greenhouse board at job-boards.eu.greenhouse.io/roboyo. On LinkedIn search Roboyo for Intelligent Automation Consultant, Automation Engineer or Talent Acquisition Specialist.</t>
  </si>
  <si>
    <t xml:space="preserve">https://www.linkedin.com/company/roboyo</t>
  </si>
  <si>
    <t xml:space="preserve">I am Copilot Studio and Power Automate certified and have run automation delivery end to end at a live product company, including AI support agents and a Bubble to Next.js and Laravel migration.</t>
  </si>
  <si>
    <t xml:space="preserve">Enterprise scale and enterprise rates, so they will not buy EUR 200 a day freelance work. Salaried route only. Consultant roles typically want more than 3 years, and their careers site runs in German, French and Spanish too, which signals local-language delivery. Target the English-language EU postings only.</t>
  </si>
  <si>
    <t xml:space="preserve">roboyo.global/careers</t>
  </si>
  <si>
    <t xml:space="preserve">Upflex</t>
  </si>
  <si>
    <t xml:space="preserve">Global on-demand workspace access platform for enterprises, which acquired UK-based WorkClub to grow its European network</t>
  </si>
  <si>
    <t xml:space="preserve">New York, USA, with European operations</t>
  </si>
  <si>
    <t xml:space="preserve">Upflex's product is a network of third-party spaces, so their permanent problem is onboarding new supply and keeping inventory and availability accurate. That is the FlowSpace problem, which he solved with a scraping and parsing pipeline plus direct Office RnD, Nexudus and Clubee integrations. Their European supply runs on precisely that European software stack, not the US one.</t>
  </si>
  <si>
    <t xml:space="preserve">Search at Upflex for Head of Supply, Supply Operations Manager, Partnerships Manager Europe or Integrations Engineer. Do not name an individual, nothing verified on their own site.</t>
  </si>
  <si>
    <t xml:space="preserve">https://www.linkedin.com/company/upflex</t>
  </si>
  <si>
    <t xml:space="preserve">Your European supply sits on Office RnD, Nexudus and Clubee. I have built and maintained live integrations with all three from the marketplace side, plus the scraping pipeline that kept listings current.</t>
  </si>
  <si>
    <t xml:space="preserve">US HQ and US-centric, so employment needs sponsorship he does not have. Freelance only. Their most-cited European news is a few years old, so verify current European headcount before investing time.</t>
  </si>
  <si>
    <t xml:space="preserve">press coverage of the WorkClub acquisition</t>
  </si>
  <si>
    <t xml:space="preserve">betahaus</t>
  </si>
  <si>
    <t xml:space="preserve">Independent German coworking brand in Berlin and Hamburg, which took over operations of Berlin's w3.hub in 2026</t>
  </si>
  <si>
    <t xml:space="preserve">Taking over another operator's space means merging two member bases, two billing setups and probably two management systems. He has done the messy version of that: integrating a live coworking product with Office RnD, Nexudus and Clubee, plus leading a Bubble.io to Next.js and Laravel migration on a product that could not go offline. Migration work with a hard cutover date is exactly what a small operator has no in-house capacity for.</t>
  </si>
  <si>
    <t xml:space="preserve">Search at betahaus for Community Manager, Head of Operations, Managing Director or Marketing Manager. No leadership names confirmed on betahaus.com.</t>
  </si>
  <si>
    <t xml:space="preserve">https://www.linkedin.com/company/betahaus/</t>
  </si>
  <si>
    <t xml:space="preserve">Absorbing w3.hub's members into betahaus means merging member records and billing across two systems. I have run that kind of live migration on a coworking platform, including a full Bubble to Next.js and Laravel rebuild with no downtime.</t>
  </si>
  <si>
    <t xml:space="preserve">German operating language and a small independent operator, so treat as a short scoped project not a retainer. Employment unlikely; the value is a reference logo in the German market.</t>
  </si>
  <si>
    <t xml:space="preserve">coworkingeurope.net, betahaus.com</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</si>
</sst>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5"/>
      <color rgb="FF1F3864"/>
      <name val="Arial"/>
      <family val="0"/>
      <charset val="1"/>
    </font>
    <font>
      <i val="true"/>
      <sz val="9"/>
      <color rgb="FF595959"/>
      <name val="Arial"/>
      <family val="0"/>
      <charset val="1"/>
    </font>
    <font>
      <b val="true"/>
      <sz val="10"/>
      <color rgb="FFFFFFFF"/>
      <name val="Arial"/>
      <family val="0"/>
      <charset val="1"/>
    </font>
    <font>
      <b val="true"/>
      <sz val="10"/>
      <name val="Arial"/>
      <family val="0"/>
      <charset val="1"/>
    </font>
    <font>
      <sz val="10"/>
      <name val="Arial"/>
      <family val="0"/>
      <charset val="1"/>
    </font>
    <font>
      <u val="single"/>
      <sz val="10"/>
      <color rgb="FF0563C1"/>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E2EFDA"/>
        <bgColor rgb="FFFFF2CC"/>
      </patternFill>
    </fill>
    <fill>
      <patternFill patternType="solid">
        <fgColor rgb="FFFFF2CC"/>
        <bgColor rgb="FFFCE4E4"/>
      </patternFill>
    </fill>
    <fill>
      <patternFill patternType="solid">
        <fgColor rgb="FFFCE4E4"/>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center" vertical="top" textRotation="0" wrapText="true" indent="0" shrinkToFit="false"/>
      <protection locked="true" hidden="false"/>
    </xf>
    <xf numFmtId="164" fontId="8" fillId="3"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center"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true" indent="0" shrinkToFit="false"/>
      <protection locked="true" hidden="false"/>
    </xf>
    <xf numFmtId="164" fontId="7" fillId="5" borderId="1" xfId="0" applyFont="true" applyBorder="true" applyAlignment="true" applyProtection="false">
      <alignment horizontal="center" vertical="top" textRotation="0" wrapText="true" indent="0" shrinkToFit="false"/>
      <protection locked="true" hidden="false"/>
    </xf>
    <xf numFmtId="164" fontId="8" fillId="5"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fgColor rgb="FFE2EFDA"/>
          <bgColor rgb="FF000000"/>
        </patternFill>
      </fill>
    </dxf>
    <dxf>
      <fill>
        <patternFill patternType="solid">
          <fgColor rgb="FFFCE4E4"/>
          <bgColor rgb="FF000000"/>
        </patternFill>
      </fill>
    </dxf>
    <dxf>
      <fill>
        <patternFill patternType="solid">
          <fgColor rgb="FFFFF2CC"/>
          <bgColor rgb="FF000000"/>
        </patternFill>
      </fill>
    </dxf>
    <dxf>
      <fill>
        <patternFill patternType="solid">
          <fgColor rgb="FFFFFFFF"/>
          <bgColor rgb="FF000000"/>
        </patternFill>
      </fill>
    </dxf>
    <dxf>
      <fill>
        <patternFill patternType="solid">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E4"/>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job-boards.greenhouse.io/timeleft/jobs/4917404101" TargetMode="External"/><Relationship Id="rId2" Type="http://schemas.openxmlformats.org/officeDocument/2006/relationships/hyperlink" Target="https://www.freelancer.com/projects/n8n/workflow-automation-with-40623345" TargetMode="External"/><Relationship Id="rId3" Type="http://schemas.openxmlformats.org/officeDocument/2006/relationships/hyperlink" Target="https://job-boards.eu.greenhouse.io/justmarkets/jobs/4929557101" TargetMode="External"/><Relationship Id="rId4" Type="http://schemas.openxmlformats.org/officeDocument/2006/relationships/hyperlink" Target="https://www.freelancer.com/projects/ai-hw-sw/developer-automated-workflow-fully" TargetMode="External"/><Relationship Id="rId5" Type="http://schemas.openxmlformats.org/officeDocument/2006/relationships/hyperlink" Target="https://www.freelancer.com/projects/n8n/marketing-automation-crm-setup-for" TargetMode="External"/><Relationship Id="rId6" Type="http://schemas.openxmlformats.org/officeDocument/2006/relationships/hyperlink" Target="https://community.n8n.io/t/hiring-sales-tech-automation-specialist-ongoing-remote-work-crm-databases/300286" TargetMode="External"/><Relationship Id="rId7" Type="http://schemas.openxmlformats.org/officeDocument/2006/relationships/hyperlink" Target="https://www.freelancer.com/projects/n8n/openai-real-estate-scout" TargetMode="External"/><Relationship Id="rId8" Type="http://schemas.openxmlformats.org/officeDocument/2006/relationships/hyperlink" Target="https://apply.workable.com/digitalgenius/j/E03A435AC1" TargetMode="External"/><Relationship Id="rId9" Type="http://schemas.openxmlformats.org/officeDocument/2006/relationships/hyperlink" Target="https://jobs.ashbyhq.com/n8n/5afbde12-defb-457d-a21e-584347141436" TargetMode="External"/><Relationship Id="rId10" Type="http://schemas.openxmlformats.org/officeDocument/2006/relationships/hyperlink" Target="https://www.freelancer.com/projects/ai-hw-sw/powered-content-automation-distribution" TargetMode="External"/><Relationship Id="rId11" Type="http://schemas.openxmlformats.org/officeDocument/2006/relationships/hyperlink" Target="https://www.freelancer.com/projects/n8n/automation-expert-needed-for-lead-40626185" TargetMode="External"/><Relationship Id="rId12" Type="http://schemas.openxmlformats.org/officeDocument/2006/relationships/hyperlink" Target="https://job-boards.greenhouse.io/sportygroup/jobs/4933981101" TargetMode="External"/><Relationship Id="rId13" Type="http://schemas.openxmlformats.org/officeDocument/2006/relationships/hyperlink" Target="https://jobs.lever.co/jobgether/f481d0d9-88e3-46e6-b263-0690a73d0786" TargetMode="External"/><Relationship Id="rId14" Type="http://schemas.openxmlformats.org/officeDocument/2006/relationships/hyperlink" Target="https://jobs.lever.co/distru/b7bb8662-3ede-4b41-bc98-b8ca5678f8d3" TargetMode="External"/><Relationship Id="rId15" Type="http://schemas.openxmlformats.org/officeDocument/2006/relationships/hyperlink" Target="https://euremotejobs.com/job/ai-automation-specialist-2/" TargetMode="External"/><Relationship Id="rId16" Type="http://schemas.openxmlformats.org/officeDocument/2006/relationships/hyperlink" Target="https://www.freelancer.com/projects/google-sheets/automation-specialist" TargetMode="External"/><Relationship Id="rId17" Type="http://schemas.openxmlformats.org/officeDocument/2006/relationships/hyperlink" Target="https://jobs.lever.co/jobgether/ba7cdbb8-ff78-4514-9974-ab8db0a51f22" TargetMode="External"/><Relationship Id="rId18" Type="http://schemas.openxmlformats.org/officeDocument/2006/relationships/hyperlink" Target="https://jobs.lever.co/capital/371d503f-1eaf-4c83-a2d8-d312e44bca4d" TargetMode="External"/><Relationship Id="rId19" Type="http://schemas.openxmlformats.org/officeDocument/2006/relationships/hyperlink" Target="https://jobs.eu.lever.co/eneba/df5397c1-489f-4eb9-a771-3d64eb42c86e" TargetMode="External"/><Relationship Id="rId20" Type="http://schemas.openxmlformats.org/officeDocument/2006/relationships/hyperlink" Target="https://ascendingai.recruitee.com/o/full-stack-engineer-mid-level" TargetMode="External"/><Relationship Id="rId21" Type="http://schemas.openxmlformats.org/officeDocument/2006/relationships/hyperlink" Target="https://www.freelancer.com/projects/crm/meta-business-agents-setup-expert" TargetMode="External"/><Relationship Id="rId22" Type="http://schemas.openxmlformats.org/officeDocument/2006/relationships/hyperlink" Target="https://job-boards.eu.greenhouse.io/superchat/jobs/4937205101" TargetMode="External"/><Relationship Id="rId23" Type="http://schemas.openxmlformats.org/officeDocument/2006/relationships/hyperlink" Target="https://www.welcometothejungle.com/en/companies/stockly/jobs/no-code-ai-automation-engineer_paris" TargetMode="External"/><Relationship Id="rId24" Type="http://schemas.openxmlformats.org/officeDocument/2006/relationships/hyperlink" Target="https://job-boards.greenhouse.io/xai/jobs/5063490007" TargetMode="External"/><Relationship Id="rId25" Type="http://schemas.openxmlformats.org/officeDocument/2006/relationships/hyperlink" Target="https://himalayas.app/companies/dorado-software-group/jobs/marketing-ai-automation-specialist-4568269099" TargetMode="External"/><Relationship Id="rId26" Type="http://schemas.openxmlformats.org/officeDocument/2006/relationships/hyperlink" Target="https://himalayas.app/companies/dorado-software-group/jobs/marketing-ai-automation-specialist-7630585410" TargetMode="External"/><Relationship Id="rId27" Type="http://schemas.openxmlformats.org/officeDocument/2006/relationships/hyperlink" Target="https://himalayas.app/companies/dorado-software-group/jobs/marketing-ai-automation-specialist-5796186857" TargetMode="External"/><Relationship Id="rId28" Type="http://schemas.openxmlformats.org/officeDocument/2006/relationships/hyperlink" Target="https://himalayas.app/companies/spotter-labs/jobs/accounting-automation-engineer" TargetMode="External"/><Relationship Id="rId29" Type="http://schemas.openxmlformats.org/officeDocument/2006/relationships/hyperlink" Target="https://jobs.lever.co/mendix/c0c545fe-53ae-4eda-869f-da2871dac697" TargetMode="External"/><Relationship Id="rId30" Type="http://schemas.openxmlformats.org/officeDocument/2006/relationships/hyperlink" Target="https://www.arbeitnow.com/jobs/companies/integral-de/gtm-engineer-berlin-311461" TargetMode="External"/><Relationship Id="rId31" Type="http://schemas.openxmlformats.org/officeDocument/2006/relationships/hyperlink" Target="https://jobs.ashbyhq.com/swans/c5c62cfc-8248-4295-8e00-36e3261025c4" TargetMode="External"/><Relationship Id="rId32" Type="http://schemas.openxmlformats.org/officeDocument/2006/relationships/hyperlink" Target="https://jobs.ashbyhq.com/10xteam/ba5dbf6c-98a9-4a38-be25-b1ec100e12bc" TargetMode="External"/><Relationship Id="rId33" Type="http://schemas.openxmlformats.org/officeDocument/2006/relationships/hyperlink" Target="https://jobs.smartrecruiters.com/BEUMERGroup1/744000128890468-m365-ai-automation-specialist-m-f-d-" TargetMode="External"/><Relationship Id="rId34" Type="http://schemas.openxmlformats.org/officeDocument/2006/relationships/hyperlink" Target="https://jobs.workable.com/view/6PL9yBjhge85dfDyAs1tZS/remote-full-stack-engineer---growth-%26-marketing-in-italy-at-treatwell" TargetMode="External"/><Relationship Id="rId35" Type="http://schemas.openxmlformats.org/officeDocument/2006/relationships/hyperlink" Target="https://lleverage.recruitee.com/o/ai-engineer-2" TargetMode="External"/><Relationship Id="rId36" Type="http://schemas.openxmlformats.org/officeDocument/2006/relationships/hyperlink" Target="https://jobs.lever.co/jobgether/7bb350c7-d399-431a-a69f-4cd38232d71e" TargetMode="External"/><Relationship Id="rId37" Type="http://schemas.openxmlformats.org/officeDocument/2006/relationships/hyperlink" Target="https://wellfound.com/jobs/4079967-full-stack-engineer-next-js-supabase-ai-native-workflow" TargetMode="External"/><Relationship Id="rId38" Type="http://schemas.openxmlformats.org/officeDocument/2006/relationships/hyperlink" Target="https://job-boards.eu.greenhouse.io/super/jobs/4821514101" TargetMode="External"/><Relationship Id="rId39" Type="http://schemas.openxmlformats.org/officeDocument/2006/relationships/hyperlink" Target="https://www.linkedin.com/jobs/view/4416294264/" TargetMode="External"/><Relationship Id="rId40" Type="http://schemas.openxmlformats.org/officeDocument/2006/relationships/hyperlink" Target="https://job-boards.greenhouse.io/bloomreach/jobs/8064322" TargetMode="External"/><Relationship Id="rId41" Type="http://schemas.openxmlformats.org/officeDocument/2006/relationships/hyperlink" Target="https://himalayas.app/companies/tripleten/jobs/crm-systems-automation-manager-9409947081" TargetMode="External"/><Relationship Id="rId42" Type="http://schemas.openxmlformats.org/officeDocument/2006/relationships/hyperlink" Target="https://himalayas.app/companies/tripleten/jobs/crm-systems-automation-manager-5814909795" TargetMode="External"/><Relationship Id="rId43" Type="http://schemas.openxmlformats.org/officeDocument/2006/relationships/hyperlink" Target="https://www.freelancer.com/projects/ai-integration/claude-integration-for-recruitment" TargetMode="External"/><Relationship Id="rId44" Type="http://schemas.openxmlformats.org/officeDocument/2006/relationships/hyperlink" Target="https://community.n8n.io/t/hiring-ai-automation-engineer-n8n-ai-agent-developer/294904" TargetMode="External"/><Relationship Id="rId45" Type="http://schemas.openxmlformats.org/officeDocument/2006/relationships/hyperlink" Target="https://himalayas.app/companies/alguna/jobs/product-engineer" TargetMode="External"/><Relationship Id="rId46" Type="http://schemas.openxmlformats.org/officeDocument/2006/relationships/hyperlink" Target="https://jobs.smartrecruiters.com/BEUMERGroup1/744000118435467-digital-workplace-ai-automation-specialist-m-w-d-" TargetMode="External"/><Relationship Id="rId47" Type="http://schemas.openxmlformats.org/officeDocument/2006/relationships/hyperlink" Target="https://job-boards.greenhouse.io/idnow/jobs/4905098101" TargetMode="External"/><Relationship Id="rId48" Type="http://schemas.openxmlformats.org/officeDocument/2006/relationships/hyperlink" Target="https://startup.jobs/software-engineer-octocom-ltd-8787185" TargetMode="External"/><Relationship Id="rId49" Type="http://schemas.openxmlformats.org/officeDocument/2006/relationships/hyperlink" Target="https://community.clay.com/x/full-time-jobs/9is5k0h0y5pt/hiring-gtm-engineer-at-growth-today-for-remote-eu" TargetMode="External"/><Relationship Id="rId50" Type="http://schemas.openxmlformats.org/officeDocument/2006/relationships/hyperlink" Target="https://himalayas.app/companies/talent-sam/jobs/full-stack-developer" TargetMode="External"/><Relationship Id="rId51" Type="http://schemas.openxmlformats.org/officeDocument/2006/relationships/hyperlink" Target="https://berlinstartupjobs.com/engineering/product-engineer-m-f-d-stackgini-gmbh/" TargetMode="External"/><Relationship Id="rId52" Type="http://schemas.openxmlformats.org/officeDocument/2006/relationships/hyperlink" Target="https://jobs.workable.com/view/k6iUWx4gVmgMJko3nWuvCY/remote-ai-automations-product-engineer-in-amsterdam-at-ninetwothree-ai-studio" TargetMode="External"/><Relationship Id="rId53" Type="http://schemas.openxmlformats.org/officeDocument/2006/relationships/hyperlink" Target="https://www.linkedin.com/jobs/view/4445848675/" TargetMode="External"/><Relationship Id="rId54" Type="http://schemas.openxmlformats.org/officeDocument/2006/relationships/hyperlink" Target="https://www.linkedin.com/jobs/view/4440116826/" TargetMode="External"/><Relationship Id="rId55" Type="http://schemas.openxmlformats.org/officeDocument/2006/relationships/hyperlink" Target="https://himalayas.app/companies/tripleten/jobs/crm-systems-automation-manager" TargetMode="External"/><Relationship Id="rId56" Type="http://schemas.openxmlformats.org/officeDocument/2006/relationships/hyperlink" Target="https://job-boards.greenhouse.io/rithumliboard/jobs/8092924" TargetMode="External"/><Relationship Id="rId57" Type="http://schemas.openxmlformats.org/officeDocument/2006/relationships/hyperlink" Target="https://job-boards.greenhouse.io/kentik/jobs/4716196005" TargetMode="External"/><Relationship Id="rId58" Type="http://schemas.openxmlformats.org/officeDocument/2006/relationships/hyperlink" Target="https://job-boards.greenhouse.io/rtbhouse/jobs/4913268101" TargetMode="External"/><Relationship Id="rId59" Type="http://schemas.openxmlformats.org/officeDocument/2006/relationships/hyperlink" Target="https://euremotejobs.com/job/full-stack-developer-node-js-react-5/" TargetMode="External"/><Relationship Id="rId60" Type="http://schemas.openxmlformats.org/officeDocument/2006/relationships/hyperlink" Target="https://himalayas.app/companies/wing-assistant/jobs/gtm-automation-engineer-outbound-marketing-2168134274" TargetMode="External"/><Relationship Id="rId61" Type="http://schemas.openxmlformats.org/officeDocument/2006/relationships/hyperlink" Target="https://jobs.lever.co/jobgether/e2a5be55-76e4-44f7-b7b6-2d6e54b14bed" TargetMode="External"/><Relationship Id="rId62" Type="http://schemas.openxmlformats.org/officeDocument/2006/relationships/hyperlink" Target="https://wellfound.com/jobs/4245997-senior-typescript-engineer-come-build-ai-agents-with-us-remote" TargetMode="External"/><Relationship Id="rId63" Type="http://schemas.openxmlformats.org/officeDocument/2006/relationships/hyperlink" Target="https://join.com/companies/gtmbaseio/16345856-forward-deployed-crm-architect" TargetMode="External"/><Relationship Id="rId64" Type="http://schemas.openxmlformats.org/officeDocument/2006/relationships/hyperlink" Target="https://himalayas.app/companies/find-co/jobs/crm-data-operations-analyst" TargetMode="External"/><Relationship Id="rId65" Type="http://schemas.openxmlformats.org/officeDocument/2006/relationships/hyperlink" Target="https://himalayas.app/companies/kodify-media-group/jobs/full-stack-developer" TargetMode="External"/><Relationship Id="rId66" Type="http://schemas.openxmlformats.org/officeDocument/2006/relationships/hyperlink" Target="https://himalayas.app/companies/it-s-prodigy/jobs/full-stack-developer" TargetMode="External"/><Relationship Id="rId67" Type="http://schemas.openxmlformats.org/officeDocument/2006/relationships/hyperlink" Target="https://weworkremotely.com/remote-jobs/yoko-co-front-end-wordpress-developer" TargetMode="External"/><Relationship Id="rId68" Type="http://schemas.openxmlformats.org/officeDocument/2006/relationships/hyperlink" Target="https://himalayas.app/companies/wing-assistant/jobs/gtm-automation-engineer-outbound-marketing-3436928092" TargetMode="External"/><Relationship Id="rId69" Type="http://schemas.openxmlformats.org/officeDocument/2006/relationships/hyperlink" Target="https://jobs.ashbyhq.com/sanity/7bb0c4d3-10e9-4e97-91a0-cfd1d0fc980a" TargetMode="External"/><Relationship Id="rId70" Type="http://schemas.openxmlformats.org/officeDocument/2006/relationships/hyperlink" Target="https://weworkremotely.com/remote-jobs/stellar-ai-senior-software-engineer" TargetMode="External"/><Relationship Id="rId71" Type="http://schemas.openxmlformats.org/officeDocument/2006/relationships/hyperlink" Target="https://lleverage.recruitee.com/o/lleverage-tem-4" TargetMode="External"/><Relationship Id="rId72" Type="http://schemas.openxmlformats.org/officeDocument/2006/relationships/hyperlink" Target="https://www.linkedin.com/jobs/view/4416402281/" TargetMode="External"/><Relationship Id="rId73" Type="http://schemas.openxmlformats.org/officeDocument/2006/relationships/hyperlink" Target="https://www.linkedin.com/jobs/view/4447533037/" TargetMode="External"/><Relationship Id="rId74" Type="http://schemas.openxmlformats.org/officeDocument/2006/relationships/hyperlink" Target="https://www.linkedin.com/jobs/view/4447529645/" TargetMode="External"/><Relationship Id="rId75" Type="http://schemas.openxmlformats.org/officeDocument/2006/relationships/hyperlink" Target="https://it.indeed.com/viewjob?jk=501ee57f9d773ce8" TargetMode="External"/><Relationship Id="rId76" Type="http://schemas.openxmlformats.org/officeDocument/2006/relationships/hyperlink" Target="https://it.indeed.com/viewjob?jk=207dec180923643c" TargetMode="External"/><Relationship Id="rId77" Type="http://schemas.openxmlformats.org/officeDocument/2006/relationships/hyperlink" Target="https://it.indeed.com/viewjob?jk=f6b0bd5b9d306e34" TargetMode="External"/><Relationship Id="rId78" Type="http://schemas.openxmlformats.org/officeDocument/2006/relationships/hyperlink" Target="https://it.indeed.com/viewjob?jk=b267bab964b6de1c" TargetMode="External"/><Relationship Id="rId79" Type="http://schemas.openxmlformats.org/officeDocument/2006/relationships/hyperlink" Target="https://jobs.ashbyhq.com/quadrivia/ef77b530-b481-4a32-a6d6-b0469a5419f2" TargetMode="External"/><Relationship Id="rId80" Type="http://schemas.openxmlformats.org/officeDocument/2006/relationships/hyperlink" Target="https://jobs.eu.lever.co/olx/e0e18bb2-2cd8-473c-b804-b4849bda1f88" TargetMode="External"/><Relationship Id="rId81" Type="http://schemas.openxmlformats.org/officeDocument/2006/relationships/hyperlink" Target="https://euremotejobs.com/job/embedded-ai-engineer-ir-540/" TargetMode="External"/><Relationship Id="rId82" Type="http://schemas.openxmlformats.org/officeDocument/2006/relationships/hyperlink" Target="https://himalayas.app/companies/wanstor/jobs/automation-developer-power-platform-copilot-studio" TargetMode="External"/><Relationship Id="rId83" Type="http://schemas.openxmlformats.org/officeDocument/2006/relationships/hyperlink" Target="https://euremotejobs.com/job/staff-it-engineer-for-automation-ai-transformation-remote/" TargetMode="External"/><Relationship Id="rId84" Type="http://schemas.openxmlformats.org/officeDocument/2006/relationships/hyperlink" Target="https://himalayas.app/companies/gorin-systems/jobs/full-stack-laravel-react-developer-9044192559" TargetMode="External"/><Relationship Id="rId85" Type="http://schemas.openxmlformats.org/officeDocument/2006/relationships/hyperlink" Target="https://himalayas.app/companies/autopilot-is/jobs/product-engineer" TargetMode="External"/><Relationship Id="rId86" Type="http://schemas.openxmlformats.org/officeDocument/2006/relationships/hyperlink" Target="https://himalayas.app/companies/full-circle/jobs/full-stack-developer-ai-first-2901065681" TargetMode="External"/><Relationship Id="rId87" Type="http://schemas.openxmlformats.org/officeDocument/2006/relationships/hyperlink" Target="https://join.com/companies/oryn-groupcom/16512536-gtm-engineer-founding-partner-m-f-x" TargetMode="External"/><Relationship Id="rId88" Type="http://schemas.openxmlformats.org/officeDocument/2006/relationships/hyperlink" Target="https://jobs.lever.co/jobgether/89509e99-290d-446f-87a7-39c3a67a4a58" TargetMode="External"/><Relationship Id="rId89" Type="http://schemas.openxmlformats.org/officeDocument/2006/relationships/hyperlink" Target="https://jobs.lever.co/jobgether/604e42de-5233-4d20-b7a6-6823f0d6b56d" TargetMode="External"/><Relationship Id="rId90" Type="http://schemas.openxmlformats.org/officeDocument/2006/relationships/hyperlink" Target="https://chrono24.jobs.personio.de/job/2717899?language=en" TargetMode="External"/><Relationship Id="rId91" Type="http://schemas.openxmlformats.org/officeDocument/2006/relationships/hyperlink" Target="https://apply.workable.com/freedomfinanceeu/j/348556E7E4" TargetMode="External"/><Relationship Id="rId92" Type="http://schemas.openxmlformats.org/officeDocument/2006/relationships/hyperlink" Target="https://himalayas.app/companies/lippe-personal-gmbh/jobs/automation-tech-specialist-m-w-d" TargetMode="External"/><Relationship Id="rId93" Type="http://schemas.openxmlformats.org/officeDocument/2006/relationships/hyperlink" Target="https://job-boards.greenhouse.io/thequalitygroupgmbh2/jobs/4931097101" TargetMode="External"/><Relationship Id="rId94" Type="http://schemas.openxmlformats.org/officeDocument/2006/relationships/hyperlink" Target="https://www.ycombinator.com/companies/cogram/jobs/LDTrViN-ex-technical-founder-product-engineer" TargetMode="External"/><Relationship Id="rId95" Type="http://schemas.openxmlformats.org/officeDocument/2006/relationships/hyperlink" Target="https://himalayas.app/companies/oneimaging/jobs/full-stack-software-engineer-typescript-react" TargetMode="External"/><Relationship Id="rId96" Type="http://schemas.openxmlformats.org/officeDocument/2006/relationships/hyperlink" Target="https://tiugotech.recruitee.com/o/technical-product-manager-ai-services-team" TargetMode="External"/><Relationship Id="rId97" Type="http://schemas.openxmlformats.org/officeDocument/2006/relationships/hyperlink" Target="https://sanalabs.com/careers/solutions-engineer" TargetMode="External"/><Relationship Id="rId98" Type="http://schemas.openxmlformats.org/officeDocument/2006/relationships/hyperlink" Target="https://startup.jobs/junior-ai-engineer-1-year-temp-entrust-8905447" TargetMode="External"/><Relationship Id="rId99" Type="http://schemas.openxmlformats.org/officeDocument/2006/relationships/hyperlink" Target="https://himalayas.app/companies/kultremedia-llc/jobs/km-automation-specialist-make-com-notion-ad-operations" TargetMode="External"/><Relationship Id="rId100" Type="http://schemas.openxmlformats.org/officeDocument/2006/relationships/hyperlink" Target="https://himalayas.app/companies/saas-group/jobs/ai-operator" TargetMode="External"/><Relationship Id="rId101" Type="http://schemas.openxmlformats.org/officeDocument/2006/relationships/hyperlink" Target="https://job-boards.greenhouse.io/rithumliboard/jobs/8016946" TargetMode="External"/><Relationship Id="rId102" Type="http://schemas.openxmlformats.org/officeDocument/2006/relationships/hyperlink" Target="https://apply.workable.com/laravel/j/E2EEEA7303" TargetMode="External"/><Relationship Id="rId103" Type="http://schemas.openxmlformats.org/officeDocument/2006/relationships/hyperlink" Target="https://himalayas.app/companies/sophie-camp/jobs/freelancer-gtm-engineer-ai-automation-specialist-n8n-clay" TargetMode="External"/><Relationship Id="rId104" Type="http://schemas.openxmlformats.org/officeDocument/2006/relationships/hyperlink" Target="https://job-boards.greenhouse.io/postman/jobs/7528350003" TargetMode="External"/><Relationship Id="rId105" Type="http://schemas.openxmlformats.org/officeDocument/2006/relationships/hyperlink" Target="https://weworkremotely.com/remote-jobs/qase-technical-customer-support-specialist" TargetMode="External"/><Relationship Id="rId106" Type="http://schemas.openxmlformats.org/officeDocument/2006/relationships/hyperlink" Target="https://himalayas.app/companies/cocoon/jobs/software-engineer" TargetMode="External"/><Relationship Id="rId107" Type="http://schemas.openxmlformats.org/officeDocument/2006/relationships/hyperlink" Target="https://doradosoftwaregroup.pinpointhq.com/en/postings/2b690194-5f6f-4217-8c9d-37e560e449b0" TargetMode="External"/><Relationship Id="rId108" Type="http://schemas.openxmlformats.org/officeDocument/2006/relationships/hyperlink" Target="https://himalayas.app/companies/huzzle/jobs/gtm-engineer-ai-systems" TargetMode="External"/><Relationship Id="rId109" Type="http://schemas.openxmlformats.org/officeDocument/2006/relationships/hyperlink" Target="https://jobs.ashbyhq.com/posthog/b42fd20b-b647-4f42-b725-b29ca472cba8" TargetMode="External"/><Relationship Id="rId110" Type="http://schemas.openxmlformats.org/officeDocument/2006/relationships/hyperlink" Target="https://jobs.ashbyhq.com/apify/08d05f4e-d727-485b-a1b7-1a6df00c225d" TargetMode="External"/><Relationship Id="rId111" Type="http://schemas.openxmlformats.org/officeDocument/2006/relationships/hyperlink" Target="https://jobs.workable.com/view/jVGnyeQeCeg4BoUw2QPnP5/lead-full-stack-engineer-(ai-first)-%7C-remote-(from-europe)-in-amsterdam-at-creatunity-llc" TargetMode="External"/><Relationship Id="rId112" Type="http://schemas.openxmlformats.org/officeDocument/2006/relationships/hyperlink" Target="https://himalayas.app/companies/zencargo/jobs/forward-deployed-engineer-9064118696" TargetMode="External"/><Relationship Id="rId113" Type="http://schemas.openxmlformats.org/officeDocument/2006/relationships/hyperlink" Target="https://www.welcometothejungle.com/en/companies/leadtech/jobs/ai-developer-full-stack_es_hup3tkve" TargetMode="External"/><Relationship Id="rId114" Type="http://schemas.openxmlformats.org/officeDocument/2006/relationships/hyperlink" Target="https://job-boards.greenhouse.io/commercetools/jobs/7774983003" TargetMode="External"/><Relationship Id="rId115" Type="http://schemas.openxmlformats.org/officeDocument/2006/relationships/hyperlink" Target="https://www.freelancer.com/projects/data-extraction/versatile-web-scraper-needed" TargetMode="External"/><Relationship Id="rId116" Type="http://schemas.openxmlformats.org/officeDocument/2006/relationships/hyperlink" Target="https://himalayas.app/companies/paires/jobs/gtm-engineer" TargetMode="External"/><Relationship Id="rId117" Type="http://schemas.openxmlformats.org/officeDocument/2006/relationships/hyperlink" Target="https://jobs.lever.co/jobgether/17f76227-a965-40ec-8d5b-5f98bef62e3e" TargetMode="External"/><Relationship Id="rId118" Type="http://schemas.openxmlformats.org/officeDocument/2006/relationships/hyperlink" Target="https://jobs.lever.co/jobgether/ebed3f39-8988-4cda-bc1b-fc212cc8dd98" TargetMode="External"/><Relationship Id="rId119" Type="http://schemas.openxmlformats.org/officeDocument/2006/relationships/hyperlink" Target="https://startup.jobs/specialist-solution-engineer-salesforce-8912021" TargetMode="External"/><Relationship Id="rId120" Type="http://schemas.openxmlformats.org/officeDocument/2006/relationships/hyperlink" Target="https://deeploi.jobs.personio.de/job/2717159" TargetMode="External"/><Relationship Id="rId121" Type="http://schemas.openxmlformats.org/officeDocument/2006/relationships/hyperlink" Target="https://job-boards.greenhouse.io/postman/jobs/7529471003" TargetMode="External"/><Relationship Id="rId122" Type="http://schemas.openxmlformats.org/officeDocument/2006/relationships/hyperlink" Target="https://www.linkedin.com/jobs/view/4416885598/" TargetMode="External"/><Relationship Id="rId123" Type="http://schemas.openxmlformats.org/officeDocument/2006/relationships/hyperlink" Target="https://www.linkedin.com/jobs/view/4428825661/" TargetMode="External"/><Relationship Id="rId124" Type="http://schemas.openxmlformats.org/officeDocument/2006/relationships/hyperlink" Target="https://www.linkedin.com/jobs/view/4443816208/" TargetMode="External"/><Relationship Id="rId125" Type="http://schemas.openxmlformats.org/officeDocument/2006/relationships/hyperlink" Target="https://www.linkedin.com/jobs/view/4447996831/" TargetMode="External"/><Relationship Id="rId126" Type="http://schemas.openxmlformats.org/officeDocument/2006/relationships/hyperlink" Target="https://www.linkedin.com/jobs/view/4440157888/" TargetMode="External"/><Relationship Id="rId127" Type="http://schemas.openxmlformats.org/officeDocument/2006/relationships/hyperlink" Target="https://www.linkedin.com/jobs/view/4439151703/" TargetMode="External"/><Relationship Id="rId128" Type="http://schemas.openxmlformats.org/officeDocument/2006/relationships/hyperlink" Target="https://makersitegmbh.recruitee.com/o/technical-support-engineer-mfx" TargetMode="External"/><Relationship Id="rId129" Type="http://schemas.openxmlformats.org/officeDocument/2006/relationships/hyperlink" Target="https://job-boards.greenhouse.io/awin/jobs/7720634003" TargetMode="External"/><Relationship Id="rId130" Type="http://schemas.openxmlformats.org/officeDocument/2006/relationships/hyperlink" Target="https://www.freelancermap.com/project/n8n-automation-architect" TargetMode="External"/><Relationship Id="rId131" Type="http://schemas.openxmlformats.org/officeDocument/2006/relationships/hyperlink" Target="https://jobs.lever.co/deliverect/ec294766-fb58-4dd9-8c2f-c18019f599ca" TargetMode="External"/><Relationship Id="rId132" Type="http://schemas.openxmlformats.org/officeDocument/2006/relationships/hyperlink" Target="https://www.careers-page.com/humanit/job/W34WXVX9" TargetMode="External"/><Relationship Id="rId133" Type="http://schemas.openxmlformats.org/officeDocument/2006/relationships/hyperlink" Target="https://euremotejobs.com/job/full-stack-engineer-php-javascript-ai/" TargetMode="External"/><Relationship Id="rId134" Type="http://schemas.openxmlformats.org/officeDocument/2006/relationships/hyperlink" Target="https://euremotejobs.com/job/backend-developer-remote/" TargetMode="External"/><Relationship Id="rId135" Type="http://schemas.openxmlformats.org/officeDocument/2006/relationships/hyperlink" Target="https://berlinstartupjobs.com/engineering/senior-product-engineer-kombo/" TargetMode="External"/><Relationship Id="rId136" Type="http://schemas.openxmlformats.org/officeDocument/2006/relationships/hyperlink" Target="https://builtin.com/job/software-engineer-frontend/7834165" TargetMode="External"/><Relationship Id="rId137" Type="http://schemas.openxmlformats.org/officeDocument/2006/relationships/hyperlink" Target="https://job-boards.greenhouse.io/databento/jobs/7943501" TargetMode="External"/><Relationship Id="rId138" Type="http://schemas.openxmlformats.org/officeDocument/2006/relationships/hyperlink" Target="https://himalayas.app/companies/berkeley-square-it/jobs/ai-solutions-engineer" TargetMode="External"/><Relationship Id="rId139" Type="http://schemas.openxmlformats.org/officeDocument/2006/relationships/hyperlink" Target="https://join.com/companies/getaveryai/16375814-founding-engineer-core" TargetMode="External"/><Relationship Id="rId140" Type="http://schemas.openxmlformats.org/officeDocument/2006/relationships/hyperlink" Target="https://jobs.ashbyhq.com/vibiz/e4d28e9f-6833-418c-bb91-d96f6f0cedca" TargetMode="External"/><Relationship Id="rId141" Type="http://schemas.openxmlformats.org/officeDocument/2006/relationships/hyperlink" Target="https://job-boards.greenhouse.io/appfire/jobs/4711980005" TargetMode="External"/><Relationship Id="rId142" Type="http://schemas.openxmlformats.org/officeDocument/2006/relationships/hyperlink" Target="https://jobs.ashbyhq.com/bjakcareer/3ead2626-c0ad-4fd4-96c1-1e4221c7ee81" TargetMode="External"/><Relationship Id="rId143" Type="http://schemas.openxmlformats.org/officeDocument/2006/relationships/hyperlink" Target="https://himalayas.app/companies/supportyourapp/jobs/fluent-english-automation-specialist-remote-europe" TargetMode="External"/><Relationship Id="rId144" Type="http://schemas.openxmlformats.org/officeDocument/2006/relationships/hyperlink" Target="https://community.n8n.io/t/looking-for-n8n-developer-or-team/304434" TargetMode="External"/><Relationship Id="rId145" Type="http://schemas.openxmlformats.org/officeDocument/2006/relationships/hyperlink" Target="https://community.clay.com/x/full-time-jobs/dr9ev9pdah79/hiring-gtm-engineer-part-timefull-time-for-long-te" TargetMode="External"/><Relationship Id="rId146" Type="http://schemas.openxmlformats.org/officeDocument/2006/relationships/hyperlink" Target="https://jobs.ashbyhq.com/neara/12c88319-6f1e-48e1-acad-fc4c1017b1cd" TargetMode="External"/><Relationship Id="rId147" Type="http://schemas.openxmlformats.org/officeDocument/2006/relationships/hyperlink" Target="https://builtin.com/job/software-engineer/7834176" TargetMode="External"/><Relationship Id="rId148" Type="http://schemas.openxmlformats.org/officeDocument/2006/relationships/hyperlink" Target="https://builtin.com/job/ai-engineer-full-stack/8308933" TargetMode="External"/><Relationship Id="rId149" Type="http://schemas.openxmlformats.org/officeDocument/2006/relationships/hyperlink" Target="https://weworkremotely.com/remote-jobs/toptal-senior-full-stack-ai-engineer" TargetMode="External"/><Relationship Id="rId150" Type="http://schemas.openxmlformats.org/officeDocument/2006/relationships/hyperlink" Target="https://www.linkedin.com/jobs/view/4446249585/" TargetMode="External"/><Relationship Id="rId151" Type="http://schemas.openxmlformats.org/officeDocument/2006/relationships/hyperlink" Target="https://www.linkedin.com/jobs/view/4448096852/" TargetMode="External"/><Relationship Id="rId152" Type="http://schemas.openxmlformats.org/officeDocument/2006/relationships/hyperlink" Target="https://www.linkedin.com/jobs/view/4439731054/" TargetMode="External"/><Relationship Id="rId153" Type="http://schemas.openxmlformats.org/officeDocument/2006/relationships/hyperlink" Target="https://www.linkedin.com/jobs/view/4449477191/" TargetMode="External"/><Relationship Id="rId154" Type="http://schemas.openxmlformats.org/officeDocument/2006/relationships/hyperlink" Target="https://www.linkedin.com/jobs/view/4447987900/" TargetMode="External"/><Relationship Id="rId155" Type="http://schemas.openxmlformats.org/officeDocument/2006/relationships/hyperlink" Target="https://www.linkedin.com/jobs/view/4448633098/" TargetMode="External"/><Relationship Id="rId156" Type="http://schemas.openxmlformats.org/officeDocument/2006/relationships/hyperlink" Target="https://www.linkedin.com/jobs/view/4445535821/" TargetMode="External"/><Relationship Id="rId157" Type="http://schemas.openxmlformats.org/officeDocument/2006/relationships/hyperlink" Target="https://www.linkedin.com/jobs/view/4431403123/" TargetMode="External"/><Relationship Id="rId158" Type="http://schemas.openxmlformats.org/officeDocument/2006/relationships/hyperlink" Target="https://www.linkedin.com/jobs/view/4445030623/" TargetMode="External"/><Relationship Id="rId159" Type="http://schemas.openxmlformats.org/officeDocument/2006/relationships/hyperlink" Target="https://www.linkedin.com/jobs/view/4440855987/" TargetMode="External"/><Relationship Id="rId160" Type="http://schemas.openxmlformats.org/officeDocument/2006/relationships/hyperlink" Target="https://www.linkedin.com/jobs/view/4446253180/" TargetMode="External"/><Relationship Id="rId161" Type="http://schemas.openxmlformats.org/officeDocument/2006/relationships/hyperlink" Target="https://www.linkedin.com/jobs/view/4447125262/" TargetMode="External"/><Relationship Id="rId162" Type="http://schemas.openxmlformats.org/officeDocument/2006/relationships/hyperlink" Target="https://www.linkedin.com/jobs/view/4441023666/" TargetMode="External"/><Relationship Id="rId163" Type="http://schemas.openxmlformats.org/officeDocument/2006/relationships/hyperlink" Target="https://www.linkedin.com/jobs/view/4448984192/" TargetMode="External"/><Relationship Id="rId164" Type="http://schemas.openxmlformats.org/officeDocument/2006/relationships/hyperlink" Target="https://www.linkedin.com/jobs/view/4437411822/" TargetMode="External"/><Relationship Id="rId165" Type="http://schemas.openxmlformats.org/officeDocument/2006/relationships/hyperlink" Target="https://www.linkedin.com/jobs/view/4447197994/" TargetMode="External"/><Relationship Id="rId166" Type="http://schemas.openxmlformats.org/officeDocument/2006/relationships/hyperlink" Target="https://www.linkedin.com/jobs/view/4436225454/" TargetMode="External"/><Relationship Id="rId167" Type="http://schemas.openxmlformats.org/officeDocument/2006/relationships/hyperlink" Target="https://www.linkedin.com/jobs/view/4447317507/" TargetMode="External"/><Relationship Id="rId168" Type="http://schemas.openxmlformats.org/officeDocument/2006/relationships/hyperlink" Target="https://www.linkedin.com/jobs/view/4445586742/" TargetMode="External"/><Relationship Id="rId169" Type="http://schemas.openxmlformats.org/officeDocument/2006/relationships/hyperlink" Target="https://www.linkedin.com/jobs/view/4429696197/" TargetMode="External"/><Relationship Id="rId170" Type="http://schemas.openxmlformats.org/officeDocument/2006/relationships/hyperlink" Target="https://www.linkedin.com/jobs/view/4445518098/" TargetMode="External"/><Relationship Id="rId171" Type="http://schemas.openxmlformats.org/officeDocument/2006/relationships/hyperlink" Target="https://www.linkedin.com/jobs/view/4447377627/" TargetMode="External"/><Relationship Id="rId172" Type="http://schemas.openxmlformats.org/officeDocument/2006/relationships/hyperlink" Target="https://www.linkedin.com/jobs/view/4447361781/" TargetMode="External"/><Relationship Id="rId173" Type="http://schemas.openxmlformats.org/officeDocument/2006/relationships/hyperlink" Target="https://www.linkedin.com/jobs/view/4448582882/" TargetMode="External"/><Relationship Id="rId174" Type="http://schemas.openxmlformats.org/officeDocument/2006/relationships/hyperlink" Target="https://www.linkedin.com/jobs/view/4447989368/" TargetMode="External"/><Relationship Id="rId175" Type="http://schemas.openxmlformats.org/officeDocument/2006/relationships/hyperlink" Target="https://www.linkedin.com/jobs/view/4446223655/" TargetMode="External"/><Relationship Id="rId176" Type="http://schemas.openxmlformats.org/officeDocument/2006/relationships/hyperlink" Target="https://www.linkedin.com/jobs/view/4447334123/" TargetMode="External"/><Relationship Id="rId177" Type="http://schemas.openxmlformats.org/officeDocument/2006/relationships/hyperlink" Target="https://www.linkedin.com/jobs/view/4447219331/" TargetMode="External"/><Relationship Id="rId178" Type="http://schemas.openxmlformats.org/officeDocument/2006/relationships/hyperlink" Target="https://www.linkedin.com/jobs/view/4450238978/" TargetMode="External"/><Relationship Id="rId179" Type="http://schemas.openxmlformats.org/officeDocument/2006/relationships/hyperlink" Target="https://www.linkedin.com/jobs/view/4438594658/" TargetMode="External"/><Relationship Id="rId180" Type="http://schemas.openxmlformats.org/officeDocument/2006/relationships/hyperlink" Target="https://www.linkedin.com/jobs/view/4431221667/" TargetMode="External"/><Relationship Id="rId181" Type="http://schemas.openxmlformats.org/officeDocument/2006/relationships/hyperlink" Target="https://www.linkedin.com/jobs/view/4437819726/" TargetMode="External"/><Relationship Id="rId182" Type="http://schemas.openxmlformats.org/officeDocument/2006/relationships/hyperlink" Target="https://www.linkedin.com/jobs/view/4442864790/" TargetMode="External"/><Relationship Id="rId183" Type="http://schemas.openxmlformats.org/officeDocument/2006/relationships/hyperlink" Target="https://www.linkedin.com/jobs/view/4445925920/" TargetMode="External"/><Relationship Id="rId184" Type="http://schemas.openxmlformats.org/officeDocument/2006/relationships/hyperlink" Target="https://www.linkedin.com/jobs/view/4444437033/" TargetMode="External"/><Relationship Id="rId185" Type="http://schemas.openxmlformats.org/officeDocument/2006/relationships/hyperlink" Target="https://www.linkedin.com/jobs/view/4439027450/" TargetMode="External"/><Relationship Id="rId186" Type="http://schemas.openxmlformats.org/officeDocument/2006/relationships/hyperlink" Target="https://www.linkedin.com/jobs/view/4446033941/" TargetMode="External"/><Relationship Id="rId187" Type="http://schemas.openxmlformats.org/officeDocument/2006/relationships/hyperlink" Target="https://www.linkedin.com/jobs/view/4441822374/" TargetMode="External"/><Relationship Id="rId188" Type="http://schemas.openxmlformats.org/officeDocument/2006/relationships/hyperlink" Target="https://www.linkedin.com/jobs/view/4445374311/" TargetMode="External"/><Relationship Id="rId189" Type="http://schemas.openxmlformats.org/officeDocument/2006/relationships/hyperlink" Target="https://www.linkedin.com/jobs/view/4444963461/" TargetMode="External"/><Relationship Id="rId190" Type="http://schemas.openxmlformats.org/officeDocument/2006/relationships/hyperlink" Target="https://www.linkedin.com/jobs/view/4448896595/" TargetMode="External"/><Relationship Id="rId191" Type="http://schemas.openxmlformats.org/officeDocument/2006/relationships/hyperlink" Target="https://www.linkedin.com/jobs/view/4444541367/" TargetMode="External"/><Relationship Id="rId192" Type="http://schemas.openxmlformats.org/officeDocument/2006/relationships/hyperlink" Target="https://www.linkedin.com/jobs/view/4449461841/" TargetMode="External"/><Relationship Id="rId193" Type="http://schemas.openxmlformats.org/officeDocument/2006/relationships/hyperlink" Target="https://www.linkedin.com/jobs/view/4442629022/" TargetMode="External"/><Relationship Id="rId194" Type="http://schemas.openxmlformats.org/officeDocument/2006/relationships/hyperlink" Target="https://www.linkedin.com/jobs/view/4445909297/" TargetMode="External"/><Relationship Id="rId195" Type="http://schemas.openxmlformats.org/officeDocument/2006/relationships/hyperlink" Target="https://www.linkedin.com/jobs/view/4431938372/" TargetMode="External"/><Relationship Id="rId196" Type="http://schemas.openxmlformats.org/officeDocument/2006/relationships/hyperlink" Target="https://www.linkedin.com/jobs/view/4437995961/" TargetMode="External"/><Relationship Id="rId197" Type="http://schemas.openxmlformats.org/officeDocument/2006/relationships/hyperlink" Target="https://www.linkedin.com/jobs/view/4447574100/" TargetMode="External"/><Relationship Id="rId198" Type="http://schemas.openxmlformats.org/officeDocument/2006/relationships/hyperlink" Target="https://www.linkedin.com/jobs/view/4446353743/" TargetMode="External"/><Relationship Id="rId199" Type="http://schemas.openxmlformats.org/officeDocument/2006/relationships/hyperlink" Target="https://www.linkedin.com/jobs/view/4440161748/" TargetMode="External"/><Relationship Id="rId200" Type="http://schemas.openxmlformats.org/officeDocument/2006/relationships/hyperlink" Target="https://it.indeed.com/viewjob?jk=67cafa8f40dbd2fc" TargetMode="External"/><Relationship Id="rId201" Type="http://schemas.openxmlformats.org/officeDocument/2006/relationships/hyperlink" Target="https://axmed.teamtailor.com/jobs/8175859-ai-engineer" TargetMode="External"/><Relationship Id="rId202" Type="http://schemas.openxmlformats.org/officeDocument/2006/relationships/hyperlink" Target="https://jobs.ashbyhq.com/outset/ef882074-b4bd-4e7e-b0ab-325e3c5c6a93" TargetMode="External"/><Relationship Id="rId203" Type="http://schemas.openxmlformats.org/officeDocument/2006/relationships/hyperlink" Target="https://berlinstartupjobs.com/engineering/full-stack-developer-pandata-gmbh/" TargetMode="External"/><Relationship Id="rId204" Type="http://schemas.openxmlformats.org/officeDocument/2006/relationships/hyperlink" Target="https://apply.workable.com/remofirst/j/CB946C18D3" TargetMode="External"/><Relationship Id="rId205" Type="http://schemas.openxmlformats.org/officeDocument/2006/relationships/hyperlink" Target="https://job-boards.greenhouse.io/bloomreach/jobs/5779409" TargetMode="External"/><Relationship Id="rId206" Type="http://schemas.openxmlformats.org/officeDocument/2006/relationships/hyperlink" Target="https://jobs.workable.com/view/cB3gEgQkRU86js7TdJ98fJ/remote-llm-engineer---freelancer-in-warsaw-at-monterail" TargetMode="External"/><Relationship Id="rId207" Type="http://schemas.openxmlformats.org/officeDocument/2006/relationships/hyperlink" Target="https://weworkremotely.com/remote-jobs/vidalytics-ai-automation-engineer-in-house-martech-video-saas" TargetMode="External"/><Relationship Id="rId208" Type="http://schemas.openxmlformats.org/officeDocument/2006/relationships/hyperlink" Target="https://jobs.ashbyhq.com/tandem-health/583fef4f-4417-40d9-a87e-e405180f71ce" TargetMode="External"/><Relationship Id="rId209" Type="http://schemas.openxmlformats.org/officeDocument/2006/relationships/hyperlink" Target="https://job-boards.greenhouse.io/alignerr/jobs/4714343007" TargetMode="External"/><Relationship Id="rId210" Type="http://schemas.openxmlformats.org/officeDocument/2006/relationships/hyperlink" Target="https://himalayas.app/companies/sortitt/jobs/full-stack-engineer" TargetMode="External"/><Relationship Id="rId211" Type="http://schemas.openxmlformats.org/officeDocument/2006/relationships/hyperlink" Target="https://jobs.lever.co/oxylabs/8682b06a-c455-406f-ab50-65ce4c3ce318" TargetMode="External"/><Relationship Id="rId212" Type="http://schemas.openxmlformats.org/officeDocument/2006/relationships/hyperlink" Target="https://himalayas.app/companies/vfx-financial/jobs/ai-automation-engineer" TargetMode="External"/><Relationship Id="rId213" Type="http://schemas.openxmlformats.org/officeDocument/2006/relationships/hyperlink" Target="https://mgid.recruitee.com/o/technical-account-manager-rtb-1" TargetMode="External"/><Relationship Id="rId214" Type="http://schemas.openxmlformats.org/officeDocument/2006/relationships/hyperlink" Target="https://careers.launchmetrics.com/jobs/8102801-full-stack-software-development-engineer-react-node-js" TargetMode="External"/><Relationship Id="rId215" Type="http://schemas.openxmlformats.org/officeDocument/2006/relationships/hyperlink" Target="https://careers.launchmetrics.com/jobs/8072383-full-stack-software-development-engineer-php-react" TargetMode="External"/><Relationship Id="rId216" Type="http://schemas.openxmlformats.org/officeDocument/2006/relationships/hyperlink" Target="https://jobs.lever.co/jobgether/2875aa8f-2aaa-495a-a70b-d2dcc0355218" TargetMode="External"/><Relationship Id="rId217" Type="http://schemas.openxmlformats.org/officeDocument/2006/relationships/hyperlink" Target="https://jobs.ashbyhq.com/orb/3197e844-cf70-47b2-9a90-df64393e9e5b" TargetMode="External"/><Relationship Id="rId218" Type="http://schemas.openxmlformats.org/officeDocument/2006/relationships/hyperlink" Target="https://valsea.teamtailor.com/jobs/7743448-ai-transformation-lead" TargetMode="External"/><Relationship Id="rId219" Type="http://schemas.openxmlformats.org/officeDocument/2006/relationships/hyperlink" Target="https://www.linkedin.com/jobs/view/4435906115/" TargetMode="External"/><Relationship Id="rId220" Type="http://schemas.openxmlformats.org/officeDocument/2006/relationships/hyperlink" Target="https://www.linkedin.com/jobs/view/4440970395/" TargetMode="External"/><Relationship Id="rId221" Type="http://schemas.openxmlformats.org/officeDocument/2006/relationships/hyperlink" Target="https://www.linkedin.com/jobs/view/4446928967/" TargetMode="External"/><Relationship Id="rId222" Type="http://schemas.openxmlformats.org/officeDocument/2006/relationships/hyperlink" Target="https://www.linkedin.com/jobs/view/4448047301/" TargetMode="External"/><Relationship Id="rId223" Type="http://schemas.openxmlformats.org/officeDocument/2006/relationships/hyperlink" Target="https://www.linkedin.com/jobs/view/4447977775/" TargetMode="External"/><Relationship Id="rId224" Type="http://schemas.openxmlformats.org/officeDocument/2006/relationships/hyperlink" Target="https://www.linkedin.com/jobs/view/4449635371/" TargetMode="External"/><Relationship Id="rId225" Type="http://schemas.openxmlformats.org/officeDocument/2006/relationships/hyperlink" Target="https://www.linkedin.com/jobs/view/4447996582/" TargetMode="External"/><Relationship Id="rId226" Type="http://schemas.openxmlformats.org/officeDocument/2006/relationships/hyperlink" Target="https://www.linkedin.com/jobs/view/4448883625/" TargetMode="External"/><Relationship Id="rId227" Type="http://schemas.openxmlformats.org/officeDocument/2006/relationships/hyperlink" Target="https://www.linkedin.com/jobs/view/4443284894/" TargetMode="External"/><Relationship Id="rId228" Type="http://schemas.openxmlformats.org/officeDocument/2006/relationships/hyperlink" Target="https://www.linkedin.com/jobs/view/4446991563/" TargetMode="External"/><Relationship Id="rId229" Type="http://schemas.openxmlformats.org/officeDocument/2006/relationships/hyperlink" Target="https://www.linkedin.com/jobs/view/4445097573/" TargetMode="External"/><Relationship Id="rId230" Type="http://schemas.openxmlformats.org/officeDocument/2006/relationships/hyperlink" Target="https://www.linkedin.com/jobs/view/4445643134/" TargetMode="External"/><Relationship Id="rId231" Type="http://schemas.openxmlformats.org/officeDocument/2006/relationships/hyperlink" Target="https://euremotejobs.com/job/senior-fullstack-engineer-php-laravel/" TargetMode="External"/><Relationship Id="rId232" Type="http://schemas.openxmlformats.org/officeDocument/2006/relationships/hyperlink" Target="https://codekeeper.applytojob.com/apply/qtxlu2ygms/full-stack-developer-javascript" TargetMode="External"/><Relationship Id="rId233" Type="http://schemas.openxmlformats.org/officeDocument/2006/relationships/hyperlink" Target="https://codekeeper.applytojob.com/apply/l5nagz7rkv/marketing-operations-specialist" TargetMode="External"/><Relationship Id="rId234" Type="http://schemas.openxmlformats.org/officeDocument/2006/relationships/hyperlink" Target="https://jobs.lever.co/jobgether/b8e4e97f-2d78-41a8-a179-110fc4ed6119" TargetMode="External"/><Relationship Id="rId235" Type="http://schemas.openxmlformats.org/officeDocument/2006/relationships/hyperlink" Target="https://aerofoils-gmbh.jobs.personio.de/job/2424999?language=en" TargetMode="External"/><Relationship Id="rId236" Type="http://schemas.openxmlformats.org/officeDocument/2006/relationships/hyperlink" Target="https://job-boards.greenhouse.io/amplitude/jobs/8548089002" TargetMode="External"/><Relationship Id="rId237" Type="http://schemas.openxmlformats.org/officeDocument/2006/relationships/hyperlink" Target="https://himalayas.app/companies/kdci/jobs/n8n-developer" TargetMode="External"/><Relationship Id="rId238" Type="http://schemas.openxmlformats.org/officeDocument/2006/relationships/hyperlink" Target="https://vismafinland.teamtailor.com/jobs/8013387-full-stack-developer-ai-severa" TargetMode="External"/><Relationship Id="rId239" Type="http://schemas.openxmlformats.org/officeDocument/2006/relationships/hyperlink" Target="https://bearingpointromania.teamtailor.com/jobs/8170303-senior-agentic-ai-developer" TargetMode="External"/><Relationship Id="rId240" Type="http://schemas.openxmlformats.org/officeDocument/2006/relationships/hyperlink" Target="https://jobs.ashbyhq.com/kota/cf1dc9c1-dcfb-48ff-aade-8b11c5180216" TargetMode="External"/><Relationship Id="rId241" Type="http://schemas.openxmlformats.org/officeDocument/2006/relationships/hyperlink" Target="https://jobs.ashbyhq.com/quicknode/aa18b773-624e-4173-ab8c-fa534f3bab4b" TargetMode="External"/><Relationship Id="rId242" Type="http://schemas.openxmlformats.org/officeDocument/2006/relationships/hyperlink" Target="https://jobs.ashbyhq.com/rossum.ai/ba7beef9-03ff-4624-9e03-d8d6ea593b64" TargetMode="External"/><Relationship Id="rId243" Type="http://schemas.openxmlformats.org/officeDocument/2006/relationships/hyperlink" Target="https://himalayas.app/companies/infuse/jobs/ai-automation-team-lead-remote-contract-2194443646" TargetMode="External"/><Relationship Id="rId244" Type="http://schemas.openxmlformats.org/officeDocument/2006/relationships/hyperlink" Target="https://weworkremotely.com/remote-jobs/reveleer-full-stack-ai-engineer" TargetMode="External"/><Relationship Id="rId245" Type="http://schemas.openxmlformats.org/officeDocument/2006/relationships/hyperlink" Target="https://himalayas.app/companies/swissborg/jobs/software-engineer-propr-xyz" TargetMode="External"/><Relationship Id="rId246" Type="http://schemas.openxmlformats.org/officeDocument/2006/relationships/hyperlink" Target="https://helloprint.recruitee.com/o/founding-ai-engineer" TargetMode="External"/><Relationship Id="rId247" Type="http://schemas.openxmlformats.org/officeDocument/2006/relationships/hyperlink" Target="https://job-boards.greenhouse.io/alignerr/jobs/4362423007" TargetMode="External"/><Relationship Id="rId248" Type="http://schemas.openxmlformats.org/officeDocument/2006/relationships/hyperlink" Target="https://mintos.teamtailor.com/jobs/7738030-ai-automation-transformation-engineer" TargetMode="External"/><Relationship Id="rId249" Type="http://schemas.openxmlformats.org/officeDocument/2006/relationships/hyperlink" Target="https://jobs.ashbyhq.com/upvest/15f04024-1155-4c45-8bc8-40f5ba4cb4e0" TargetMode="External"/><Relationship Id="rId250" Type="http://schemas.openxmlformats.org/officeDocument/2006/relationships/hyperlink" Target="https://etiqa-srl.breezy.hr/p/f5bc746306c601-ai-developer-junior-mid-efficiently-lazy" TargetMode="External"/><Relationship Id="rId251" Type="http://schemas.openxmlformats.org/officeDocument/2006/relationships/hyperlink" Target="https://himalayas.app/companies/nebulab-com/jobs/shopify-engineer" TargetMode="External"/><Relationship Id="rId252" Type="http://schemas.openxmlformats.org/officeDocument/2006/relationships/hyperlink" Target="https://jobs.ashbyhq.com/LeadX-Pro/e7d047be-5c12-411f-806e-3a08d044dafa/application" TargetMode="External"/><Relationship Id="rId253" Type="http://schemas.openxmlformats.org/officeDocument/2006/relationships/hyperlink" Target="https://jobs.ashbyhq.com/reaktor/0b3c4d59-67f8-48f3-a573-5d62b89620c4" TargetMode="External"/><Relationship Id="rId254" Type="http://schemas.openxmlformats.org/officeDocument/2006/relationships/hyperlink" Target="https://otonomee.jobs.personio.com/job/2656102" TargetMode="External"/><Relationship Id="rId255" Type="http://schemas.openxmlformats.org/officeDocument/2006/relationships/hyperlink" Target="https://weworkremotely.com/remote-jobs/toptal-airtable-process-automation-expert" TargetMode="External"/><Relationship Id="rId256" Type="http://schemas.openxmlformats.org/officeDocument/2006/relationships/hyperlink" Target="https://job-boards.greenhouse.io/jetbrains/jobs/4873487101" TargetMode="External"/><Relationship Id="rId257" Type="http://schemas.openxmlformats.org/officeDocument/2006/relationships/hyperlink" Target="https://www.welcometothejungle.com/en/companies/basikon/jobs/senior-solutions-engineer-presales-fintech-saas_paris" TargetMode="External"/><Relationship Id="rId258" Type="http://schemas.openxmlformats.org/officeDocument/2006/relationships/hyperlink" Target="https://jobs.ashbyhq.com/zauber/be28d274-8d61-43db-8dea-fe643ed69e0d" TargetMode="External"/><Relationship Id="rId259" Type="http://schemas.openxmlformats.org/officeDocument/2006/relationships/hyperlink" Target="https://job-boards.greenhouse.io/alertmedia/jobs/8656401002" TargetMode="External"/><Relationship Id="rId260" Type="http://schemas.openxmlformats.org/officeDocument/2006/relationships/hyperlink" Target="https://job-boards.greenhouse.io/telnyx54/jobs/4651630003" TargetMode="External"/><Relationship Id="rId261" Type="http://schemas.openxmlformats.org/officeDocument/2006/relationships/hyperlink" Target="https://jobs.ashbyhq.com/pliant/581ca006-b369-4332-80de-3e383f2f101b" TargetMode="External"/><Relationship Id="rId262" Type="http://schemas.openxmlformats.org/officeDocument/2006/relationships/hyperlink" Target="https://crowdstrike.wd5.myworkdayjobs.com/crowdstrikecareers/job/spain---remote/implementation-engineer--remote--esp-_r29357" TargetMode="External"/><Relationship Id="rId263" Type="http://schemas.openxmlformats.org/officeDocument/2006/relationships/hyperlink" Target="https://enfuceoy.teamtailor.com/jobs/6554769-revops-specialist" TargetMode="External"/><Relationship Id="rId264" Type="http://schemas.openxmlformats.org/officeDocument/2006/relationships/hyperlink" Target="https://jobs.lever.co/jobgether/f5760e2d-3cd2-4df5-8650-a04a78960d32" TargetMode="External"/><Relationship Id="rId265" Type="http://schemas.openxmlformats.org/officeDocument/2006/relationships/hyperlink" Target="https://job-boards.greenhouse.io/vonage/jobs/8477113002" TargetMode="External"/><Relationship Id="rId266" Type="http://schemas.openxmlformats.org/officeDocument/2006/relationships/hyperlink" Target="https://riverflex.recruitee.com/o/ai-full-stack-product-engineer-mid-level" TargetMode="External"/><Relationship Id="rId267" Type="http://schemas.openxmlformats.org/officeDocument/2006/relationships/hyperlink" Target="https://weworkremotely.com/remote-jobs/a-team-senior-independent-ai-engineer-architect" TargetMode="External"/><Relationship Id="rId268" Type="http://schemas.openxmlformats.org/officeDocument/2006/relationships/hyperlink" Target="https://www.linkedin.com/jobs/view/4432839113/" TargetMode="External"/><Relationship Id="rId269" Type="http://schemas.openxmlformats.org/officeDocument/2006/relationships/hyperlink" Target="https://jobs.eu.lever.co/xm/5b5734a5-0ea7-4360-b4d1-6939aff2a621" TargetMode="External"/><Relationship Id="rId270" Type="http://schemas.openxmlformats.org/officeDocument/2006/relationships/hyperlink" Target="https://job-boards.greenhouse.io/databento/jobs/7976255" TargetMode="External"/><Relationship Id="rId271" Type="http://schemas.openxmlformats.org/officeDocument/2006/relationships/hyperlink" Target="https://www.welcometothejungle.com/fr/companies/clerk/jobs/ai-engineer-mid-senior-remote_begles" TargetMode="External"/><Relationship Id="rId272" Type="http://schemas.openxmlformats.org/officeDocument/2006/relationships/hyperlink" Target="https://job-boards.greenhouse.io/unframe/jobs/4944222101" TargetMode="External"/><Relationship Id="rId273" Type="http://schemas.openxmlformats.org/officeDocument/2006/relationships/hyperlink" Target="https://www.kadoa.com/careers/web-scraping-engineer" TargetMode="External"/><Relationship Id="rId274" Type="http://schemas.openxmlformats.org/officeDocument/2006/relationships/hyperlink" Target="https://job-boards.greenhouse.io/wizinc/jobs/4701893006" TargetMode="External"/><Relationship Id="rId275" Type="http://schemas.openxmlformats.org/officeDocument/2006/relationships/hyperlink" Target="https://jobs.ashbyhq.com/rossum.ai/5813d4c2-aa73-40ee-89a6-cc670c80be9f" TargetMode="External"/><Relationship Id="rId276" Type="http://schemas.openxmlformats.org/officeDocument/2006/relationships/hyperlink" Target="https://careers.epicompany.eu/jobs/5229601-partner-integration-engineer-remote-first" TargetMode="External"/><Relationship Id="rId277" Type="http://schemas.openxmlformats.org/officeDocument/2006/relationships/hyperlink" Target="https://holtzbrinck-careers.softgarden.io/job/62651254/" TargetMode="External"/><Relationship Id="rId278" Type="http://schemas.openxmlformats.org/officeDocument/2006/relationships/hyperlink" Target="https://jobs.ashbyhq.com/sunday-natural/334daa15-1d5d-413a-b68b-3e100d0fe6aa/application" TargetMode="External"/><Relationship Id="rId279" Type="http://schemas.openxmlformats.org/officeDocument/2006/relationships/hyperlink" Target="https://jobs.ashbyhq.com/wayflyer/59f3c28d-c365-4343-a11e-001cef58ce90" TargetMode="External"/><Relationship Id="rId280" Type="http://schemas.openxmlformats.org/officeDocument/2006/relationships/hyperlink" Target="https://weworkremotely.com/remote-jobs/toptal-ai-engineer-aws-bedrock-agentcore-production-agentic-systems-latam-europe" TargetMode="External"/><Relationship Id="rId281" Type="http://schemas.openxmlformats.org/officeDocument/2006/relationships/hyperlink" Target="https://www.linkedin.com/jobs/view/4448398622/" TargetMode="External"/><Relationship Id="rId282" Type="http://schemas.openxmlformats.org/officeDocument/2006/relationships/hyperlink" Target="https://www.linkedin.com/jobs/view/4399694891/" TargetMode="External"/><Relationship Id="rId283" Type="http://schemas.openxmlformats.org/officeDocument/2006/relationships/hyperlink" Target="https://www.linkedin.com/jobs/view/4433111445/" TargetMode="External"/><Relationship Id="rId284" Type="http://schemas.openxmlformats.org/officeDocument/2006/relationships/hyperlink" Target="https://it.indeed.com/viewjob?jk=89da5c8ba1dbefe5" TargetMode="External"/><Relationship Id="rId285" Type="http://schemas.openxmlformats.org/officeDocument/2006/relationships/hyperlink" Target="https://jobs.lever.co/activecampaign/3e093aec-8540-49c7-93f1-719727c1191d" TargetMode="External"/><Relationship Id="rId286" Type="http://schemas.openxmlformats.org/officeDocument/2006/relationships/hyperlink" Target="https://jobs.ashbyhq.com/langfuse/a2c4e24c-21d1-4a9f-8d46-422d0592efd6" TargetMode="External"/><Relationship Id="rId287" Type="http://schemas.openxmlformats.org/officeDocument/2006/relationships/hyperlink" Target="https://job-boards.greenhouse.io/datacor/jobs/5200122007" TargetMode="External"/><Relationship Id="rId288" Type="http://schemas.openxmlformats.org/officeDocument/2006/relationships/hyperlink" Target="https://jobs.ashbyhq.com/enode/6b852b8a-6b6b-4ad2-be67-094af51f04c7" TargetMode="External"/><Relationship Id="rId289" Type="http://schemas.openxmlformats.org/officeDocument/2006/relationships/hyperlink" Target="https://www.arbeitnow.com/jobs/companies/reonic/go-to-market-ai-data-ai-x-greentech-berlin-54823" TargetMode="External"/><Relationship Id="rId290" Type="http://schemas.openxmlformats.org/officeDocument/2006/relationships/hyperlink" Target="https://builtin.com/job/software-engineer-cloud-backend/6802123" TargetMode="External"/><Relationship Id="rId291" Type="http://schemas.openxmlformats.org/officeDocument/2006/relationships/hyperlink" Target="https://job-boards.greenhouse.io/intercom/jobs/6436276" TargetMode="External"/><Relationship Id="rId292" Type="http://schemas.openxmlformats.org/officeDocument/2006/relationships/hyperlink" Target="https://job-boards.greenhouse.io/customerio/jobs/8089365" TargetMode="External"/><Relationship Id="rId293" Type="http://schemas.openxmlformats.org/officeDocument/2006/relationships/hyperlink" Target="https://himalayas.app/companies/hygraph/jobs/senior-fullstack-engineer-f-m-d-berlin-i-germany-emea-i-remote" TargetMode="External"/><Relationship Id="rId294" Type="http://schemas.openxmlformats.org/officeDocument/2006/relationships/hyperlink" Target="https://www.linkedin.com/jobs/view/4450214033/" TargetMode="External"/><Relationship Id="rId295" Type="http://schemas.openxmlformats.org/officeDocument/2006/relationships/hyperlink" Target="https://www.linkedin.com/jobs/view/4448866303/" TargetMode="External"/><Relationship Id="rId296" Type="http://schemas.openxmlformats.org/officeDocument/2006/relationships/hyperlink" Target="https://www.linkedin.com/jobs/view/4449996877/" TargetMode="External"/><Relationship Id="rId297" Type="http://schemas.openxmlformats.org/officeDocument/2006/relationships/hyperlink" Target="https://job-boards.greenhouse.io/workboard/jobs/8634352002" TargetMode="External"/><Relationship Id="rId298" Type="http://schemas.openxmlformats.org/officeDocument/2006/relationships/hyperlink" Target="https://jobs.lever.co/jobgether/e0c2953f-0797-40d5-b9fb-ef8697bbc421" TargetMode="External"/><Relationship Id="rId299" Type="http://schemas.openxmlformats.org/officeDocument/2006/relationships/hyperlink" Target="https://job-boards.greenhouse.io/altamirafreelance/jobs/4936421101" TargetMode="External"/><Relationship Id="rId300" Type="http://schemas.openxmlformats.org/officeDocument/2006/relationships/hyperlink" Target="https://www.linkedin.com/jobs/view/4449619696/" TargetMode="External"/><Relationship Id="rId301" Type="http://schemas.openxmlformats.org/officeDocument/2006/relationships/hyperlink" Target="https://www.linkedin.com/jobs/view/4448536145/" TargetMode="External"/><Relationship Id="rId302" Type="http://schemas.openxmlformats.org/officeDocument/2006/relationships/hyperlink" Target="https://www.linkedin.com/jobs/view/4448553071/" TargetMode="External"/><Relationship Id="rId303" Type="http://schemas.openxmlformats.org/officeDocument/2006/relationships/hyperlink" Target="https://www.linkedin.com/jobs/view/4436845106/" TargetMode="External"/><Relationship Id="rId304" Type="http://schemas.openxmlformats.org/officeDocument/2006/relationships/hyperlink" Target="https://careers.launchmetrics.com/jobs/8082265-associate-product-builder" TargetMode="External"/><Relationship Id="rId305" Type="http://schemas.openxmlformats.org/officeDocument/2006/relationships/hyperlink" Target="https://www.pubnub.com/company/careers/?gh_jid=8053195" TargetMode="External"/><Relationship Id="rId306" Type="http://schemas.openxmlformats.org/officeDocument/2006/relationships/hyperlink" Target="https://jobs.ashbyhq.com/nebuly/fe84bdad-9414-4bfc-aa4e-9aa7f1ca742e" TargetMode="External"/><Relationship Id="rId307" Type="http://schemas.openxmlformats.org/officeDocument/2006/relationships/hyperlink" Target="https://weworkremotely.com/remote-jobs/dataannotation-tech-ft-pt-remote-ai-prompt-engineering-evaluation-will-train" TargetMode="External"/><Relationship Id="rId308" Type="http://schemas.openxmlformats.org/officeDocument/2006/relationships/hyperlink" Target="https://jobs.lever.co/siteground/f3e78210-c419-449a-92fe-264344b90377" TargetMode="External"/><Relationship Id="rId309" Type="http://schemas.openxmlformats.org/officeDocument/2006/relationships/hyperlink" Target="https://himalayas.app/companies/jumpfactor/jobs/gohighlevel-ghl-automation-specialist" TargetMode="External"/><Relationship Id="rId310" Type="http://schemas.openxmlformats.org/officeDocument/2006/relationships/hyperlink" Target="https://jobs.eu.lever.co/wypoon/136cfee2-28f2-46b0-b634-99a563b9b059" TargetMode="External"/><Relationship Id="rId311" Type="http://schemas.openxmlformats.org/officeDocument/2006/relationships/hyperlink" Target="https://digitail.factorialhr.com/job_posting/onboarding-specialist-274112" TargetMode="External"/><Relationship Id="rId312" Type="http://schemas.openxmlformats.org/officeDocument/2006/relationships/hyperlink" Target="https://weworkremotely.com/remote-jobs/onthegosystems-ai-native-software-developer" TargetMode="External"/><Relationship Id="rId313" Type="http://schemas.openxmlformats.org/officeDocument/2006/relationships/hyperlink" Target="https://job-boards.greenhouse.io/doitintl/jobs/7795513003" TargetMode="External"/><Relationship Id="rId314" Type="http://schemas.openxmlformats.org/officeDocument/2006/relationships/hyperlink" Target="https://shaman.recruitee.com/o/pre-sales-solution-consultant" TargetMode="External"/><Relationship Id="rId315" Type="http://schemas.openxmlformats.org/officeDocument/2006/relationships/hyperlink" Target="https://himalayas.app/companies/curotec/jobs/senior-full-stack-engineer-laravel-reactjs" TargetMode="External"/><Relationship Id="rId316" Type="http://schemas.openxmlformats.org/officeDocument/2006/relationships/hyperlink" Target="https://startup.jobs/full-stack-engineer-ii-mollie-8906768" TargetMode="External"/><Relationship Id="rId317" Type="http://schemas.openxmlformats.org/officeDocument/2006/relationships/hyperlink" Target="https://it.indeed.com/viewjob?jk=2bde66bd81a5b2db" TargetMode="External"/><Relationship Id="rId318" Type="http://schemas.openxmlformats.org/officeDocument/2006/relationships/hyperlink" Target="https://himalayas.app/companies/darkroom/jobs/operations-associate-data-technology" TargetMode="External"/><Relationship Id="rId319" Type="http://schemas.openxmlformats.org/officeDocument/2006/relationships/hyperlink" Target="https://jobs.workable.com/view/qhTB69SyybzJ77ttkP513L/remote-ai-adoption-officer-in-poland-at-mmdsmart-ltd" TargetMode="External"/><Relationship Id="rId320" Type="http://schemas.openxmlformats.org/officeDocument/2006/relationships/hyperlink" Target="https://opply-1682428990.teamtailor.com/jobs/6710160-product-engineer-remote-in-europe" TargetMode="External"/><Relationship Id="rId321" Type="http://schemas.openxmlformats.org/officeDocument/2006/relationships/hyperlink" Target="https://www.linkedin.com/jobs/view/4450200824/" TargetMode="External"/><Relationship Id="rId322" Type="http://schemas.openxmlformats.org/officeDocument/2006/relationships/hyperlink" Target="https://himalayas.app/companies/pixel-service-consulting/jobs/fullstack-developer" TargetMode="External"/><Relationship Id="rId323" Type="http://schemas.openxmlformats.org/officeDocument/2006/relationships/hyperlink" Target="https://job-boards.greenhouse.io/alignerr/jobs/4769519007" TargetMode="External"/><Relationship Id="rId324" Type="http://schemas.openxmlformats.org/officeDocument/2006/relationships/hyperlink" Target="https://www.linkedin.com/jobs/view/4390700737/" TargetMode="External"/><Relationship Id="rId325" Type="http://schemas.openxmlformats.org/officeDocument/2006/relationships/hyperlink" Target="https://www.ycombinator.com/companies/cogram/jobs" TargetMode="External"/><Relationship Id="rId326" Type="http://schemas.openxmlformats.org/officeDocument/2006/relationships/hyperlink" Target="https://jobs.ashbyhq.com/weaviate/0d1c47c4-bc5b-45d8-8791-8f30f0fb2a12" TargetMode="External"/><Relationship Id="rId327" Type="http://schemas.openxmlformats.org/officeDocument/2006/relationships/hyperlink" Target="https://himalayas.app/companies/product-heroes/jobs/ai-ml-engineer-live-story" TargetMode="External"/><Relationship Id="rId328" Type="http://schemas.openxmlformats.org/officeDocument/2006/relationships/hyperlink" Target="https://careers.hostaway.com/o/staff-product-manager-ai-remote-emea" TargetMode="External"/><Relationship Id="rId329" Type="http://schemas.openxmlformats.org/officeDocument/2006/relationships/hyperlink" Target="https://jobs.ashbyhq.com/deepsetai/64ae158e-76ed-43b9-8f19-d709bd2231ee" TargetMode="External"/><Relationship Id="rId330" Type="http://schemas.openxmlformats.org/officeDocument/2006/relationships/hyperlink" Target="https://lobster-data-gmbh.jobs.personio.com/job/2667990" TargetMode="External"/><Relationship Id="rId331" Type="http://schemas.openxmlformats.org/officeDocument/2006/relationships/hyperlink" Target="https://himalayas.app/companies/in-tandem/jobs/ai-engineer" TargetMode="External"/><Relationship Id="rId332" Type="http://schemas.openxmlformats.org/officeDocument/2006/relationships/hyperlink" Target="https://jobs.ashbyhq.com/absorblms/a921a1d0-5e93-4bbf-a75e-125732438449" TargetMode="External"/><Relationship Id="rId333" Type="http://schemas.openxmlformats.org/officeDocument/2006/relationships/hyperlink" Target="https://www.linkedin.com/jobs/view/4365608899/" TargetMode="External"/><Relationship Id="rId334" Type="http://schemas.openxmlformats.org/officeDocument/2006/relationships/hyperlink" Target="https://jobs.ashbyhq.com/gorilla/d433c595-1824-4fba-be86-61732600a0fd" TargetMode="External"/><Relationship Id="rId335"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https://join.com/companies/shippypro953/16512307-gtm-engineer" TargetMode="External"/><Relationship Id="rId2" Type="http://schemas.openxmlformats.org/officeDocument/2006/relationships/hyperlink" Target="https://hometogo.jobs.personio.de/job/2670372" TargetMode="External"/><Relationship Id="rId3" Type="http://schemas.openxmlformats.org/officeDocument/2006/relationships/hyperlink" Target="https://www.holidu.com/careers/ai-engineer-agentic-experience-all-genders" TargetMode="External"/><Relationship Id="rId4" Type="http://schemas.openxmlformats.org/officeDocument/2006/relationships/hyperlink" Target="https://www.mews.com/en/careers/jobs/4861788101?gh_jid=4861788101" TargetMode="External"/><Relationship Id="rId5" Type="http://schemas.openxmlformats.org/officeDocument/2006/relationships/hyperlink" Target="https://career.limehome.de/o/product-engineer-mid-level-dfm" TargetMode="External"/><Relationship Id="rId6" Type="http://schemas.openxmlformats.org/officeDocument/2006/relationships/hyperlink" Target="https://jobs.lever.co/lodgify/e1eab491-a863-4292-8912-0449992aea60" TargetMode="External"/><Relationship Id="rId7" Type="http://schemas.openxmlformats.org/officeDocument/2006/relationships/hyperlink" Target="https://www.mews.com/en/careers/jobs/4852746101?gh_jid=4852746101" TargetMode="External"/><Relationship Id="rId8" Type="http://schemas.openxmlformats.org/officeDocument/2006/relationships/hyperlink" Target="https://careers.hostaway.com/o/senior-backend-engineer-communications-100-remote-emea" TargetMode="External"/><Relationship Id="rId9" Type="http://schemas.openxmlformats.org/officeDocument/2006/relationships/hyperlink" Target="https://careers.hostaway.com/o/senior-backend-engineer-booking-engine-remote" TargetMode="External"/><Relationship Id="rId10" Type="http://schemas.openxmlformats.org/officeDocument/2006/relationships/hyperlink" Target="https://career.limehome.de/o/senior-growth-marketing-manager-mfd" TargetMode="External"/><Relationship Id="rId11" Type="http://schemas.openxmlformats.org/officeDocument/2006/relationships/hyperlink" Target="https://www.arbeitnow.com/jobs/companies/apaleo/growth-marketing-architect-berlin-338944" TargetMode="External"/><Relationship Id="rId12" Type="http://schemas.openxmlformats.org/officeDocument/2006/relationships/hyperlink" Target="https://careers.bobw.co/jobs/7691081-product-manager-commercial-growth" TargetMode="External"/><Relationship Id="rId13" Type="http://schemas.openxmlformats.org/officeDocument/2006/relationships/hyperlink" Target="https://www.guesty.com/careers-open-positions/co/barcelona/16.D6E/data-analyst/" TargetMode="External"/><Relationship Id="rId14" Type="http://schemas.openxmlformats.org/officeDocument/2006/relationships/hyperlink" Target="https://jobs.lever.co/lodgify/d99f7960-cf71-4fd9-b87a-08066b00d07e" TargetMode="External"/><Relationship Id="rId15" Type="http://schemas.openxmlformats.org/officeDocument/2006/relationships/hyperlink" Target="https://career.limehome.de/o/product-manager-payments-billing-mfd" TargetMode="External"/><Relationship Id="rId16" Type="http://schemas.openxmlformats.org/officeDocument/2006/relationships/hyperlink" Target="https://job-boards.greenhouse.io/amenitiz" TargetMode="External"/><Relationship Id="rId17" Type="http://schemas.openxmlformats.org/officeDocument/2006/relationships/hyperlink" Target="https://www.mews.com/en/careers/jobs/4826070101?gh_jid=4826070101" TargetMode="External"/><Relationship Id="rId18" Type="http://schemas.openxmlformats.org/officeDocument/2006/relationships/hyperlink" Target="https://job-boards.greenhouse.io/getyourguide/jobs/7976582" TargetMode="External"/><Relationship Id="rId19" Type="http://schemas.openxmlformats.org/officeDocument/2006/relationships/hyperlink" Target="https://job-boards.greenhouse.io/getyourguide/jobs/7552392" TargetMode="External"/><Relationship Id="rId20" Type="http://schemas.openxmlformats.org/officeDocument/2006/relationships/hyperlink" Target="https://careers.hostaway.com/o/senior-frontend-engineer-100-remote-emea-1" TargetMode="External"/><Relationship Id="rId21" Type="http://schemas.openxmlformats.org/officeDocument/2006/relationships/hyperlink" Target="https://hometogo.jobs.personio.de/job/2728178" TargetMode="External"/><Relationship Id="rId22" Type="http://schemas.openxmlformats.org/officeDocument/2006/relationships/hyperlink" Target="https://startup.jobs/senior-full-stack-engineer-m-f-d-numa-8746112" TargetMode="External"/><Relationship Id="rId23" Type="http://schemas.openxmlformats.org/officeDocument/2006/relationships/hyperlink" Target="https://hometogo.jobs.personio.de/job/2595767" TargetMode="External"/><Relationship Id="rId24" Type="http://schemas.openxmlformats.org/officeDocument/2006/relationships/hyperlink" Target="https://job-boards.greenhouse.io/amenitiz" TargetMode="External"/><Relationship Id="rId25" Type="http://schemas.openxmlformats.org/officeDocument/2006/relationships/hyperlink" Target="https://job-boards.eu.greenhouse.io/lighthouse/jobs/4849717101" TargetMode="External"/><Relationship Id="rId26" Type="http://schemas.openxmlformats.org/officeDocument/2006/relationships/hyperlink" Target="https://job-boards.greenhouse.io/getyourguide/jobs/7979056" TargetMode="External"/><Relationship Id="rId27" Type="http://schemas.openxmlformats.org/officeDocument/2006/relationships/hyperlink" Target="https://job-boards.greenhouse.io/getyourguide/jobs/7887400" TargetMode="External"/><Relationship Id="rId28" Type="http://schemas.openxmlformats.org/officeDocument/2006/relationships/hyperlink" Target="https://www.mindspace.me/careers/warsaw/salesforce-genai-builder/73.D67/" TargetMode="External"/><Relationship Id="rId29" Type="http://schemas.openxmlformats.org/officeDocument/2006/relationships/hyperlink" Target="https://careers.hostaway.com/o/senior-backend-engineer-developer-experience-100-remote-emea" TargetMode="External"/><Relationship Id="rId30" Type="http://schemas.openxmlformats.org/officeDocument/2006/relationships/hyperlink" Target="https://deskbird.jobs.personio.com/job/2588364" TargetMode="External"/><Relationship Id="rId31" Type="http://schemas.openxmlformats.org/officeDocument/2006/relationships/hyperlink" Target="https://job-boards.greenhouse.io/cloudbeds/jobs/4717008005" TargetMode="External"/><Relationship Id="rId32"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hyperlink" Target="https://job-boards.eu.greenhouse.io/eggai/jobs/4772834101" TargetMode="External"/><Relationship Id="rId2" Type="http://schemas.openxmlformats.org/officeDocument/2006/relationships/hyperlink" Target="https://job-boards.greenhouse.io/nuitee/jobs/4901595101" TargetMode="External"/><Relationship Id="rId3" Type="http://schemas.openxmlformats.org/officeDocument/2006/relationships/hyperlink" Target="https://job-boards.greenhouse.io/arizeai/jobs/5793354004" TargetMode="External"/><Relationship Id="rId4" Type="http://schemas.openxmlformats.org/officeDocument/2006/relationships/hyperlink" Target="https://jobs.ashbyhq.com/hipeople-official/6c330d7b-7c6d-4993-8893-b58b5289d442/application" TargetMode="External"/><Relationship Id="rId5" Type="http://schemas.openxmlformats.org/officeDocument/2006/relationships/hyperlink" Target="https://jobs.ashbyhq.com/g2i/e2b998c8-7b32-4964-997c-93f1422ddff3/application" TargetMode="External"/><Relationship Id="rId6" Type="http://schemas.openxmlformats.org/officeDocument/2006/relationships/hyperlink" Target="https://jobs.ashbyhq.com/g2i/eef73fe6-fe5f-4949-a0f7-a21853eb4179/application" TargetMode="External"/><Relationship Id="rId7" Type="http://schemas.openxmlformats.org/officeDocument/2006/relationships/hyperlink" Target="https://job-boards.greenhouse.io/arizeai/jobs/5989510004" TargetMode="External"/><Relationship Id="rId8" Type="http://schemas.openxmlformats.org/officeDocument/2006/relationships/hyperlink" Target="https://jobs.ashbyhq.com/openhands/57564a95-13b6-47b1-b601-dd2353484e47/application" TargetMode="External"/><Relationship Id="rId9" Type="http://schemas.openxmlformats.org/officeDocument/2006/relationships/hyperlink" Target="https://jobs.ashbyhq.com/camunda/42b8007d-8299-4793-9581-2b3868ba0754/application" TargetMode="External"/><Relationship Id="rId10" Type="http://schemas.openxmlformats.org/officeDocument/2006/relationships/hyperlink" Target="https://jobs.ashbyhq.com/viktor/c750869a-1859-4339-bfc9-161a9ee2dc9f/application" TargetMode="External"/><Relationship Id="rId11" Type="http://schemas.openxmlformats.org/officeDocument/2006/relationships/hyperlink" Target="https://jobs.ashbyhq.com/tem/9f448576-a9aa-4c38-b6eb-745b4cc1fc35/application" TargetMode="External"/><Relationship Id="rId12" Type="http://schemas.openxmlformats.org/officeDocument/2006/relationships/hyperlink" Target="https://jobs.ashbyhq.com/oh/bcb79f15-907c-48bd-b78e-fcbbd2160a3e/application" TargetMode="External"/><Relationship Id="rId13" Type="http://schemas.openxmlformats.org/officeDocument/2006/relationships/hyperlink" Target="https://jobs.ashbyhq.com/g2i/86297d95-58ff-4d8b-90d9-98aff576c178/application" TargetMode="External"/><Relationship Id="rId14" Type="http://schemas.openxmlformats.org/officeDocument/2006/relationships/hyperlink" Target="https://jobs.ashbyhq.com/duvo/a1e5cdbc-6159-4895-8dae-cf71196550fa/application" TargetMode="External"/><Relationship Id="rId15" Type="http://schemas.openxmlformats.org/officeDocument/2006/relationships/hyperlink" Target="https://job-boards.greenhouse.io/sourcegraph91/jobs/6113147004" TargetMode="External"/><Relationship Id="rId16" Type="http://schemas.openxmlformats.org/officeDocument/2006/relationships/hyperlink" Target="https://jobs.ashbyhq.com/reedsy/b043b550-02b7-416f-8969-5db8fd9dc8ee/application" TargetMode="External"/><Relationship Id="rId17" Type="http://schemas.openxmlformats.org/officeDocument/2006/relationships/hyperlink" Target="https://jobs.ashbyhq.com/cohere/2d256112-b336-4539-8133-a0bf7f6698f0/application" TargetMode="External"/><Relationship Id="rId18" Type="http://schemas.openxmlformats.org/officeDocument/2006/relationships/hyperlink" Target="https://jobs.ashbyhq.com/n8n/6a370ff8-e069-48ed-bffa-5716a3dbd9d5/application" TargetMode="External"/><Relationship Id="rId19" Type="http://schemas.openxmlformats.org/officeDocument/2006/relationships/hyperlink" Target="https://jobs.ashbyhq.com/goldsky/790751f0-225b-4c88-ad17-58848a757e13/application" TargetMode="External"/><Relationship Id="rId20" Type="http://schemas.openxmlformats.org/officeDocument/2006/relationships/hyperlink" Target="https://jobs.ashbyhq.com/elevenlabs/6c4c57c1-ec72-42ba-af3a-eb7aebbde2e6/application" TargetMode="External"/><Relationship Id="rId21" Type="http://schemas.openxmlformats.org/officeDocument/2006/relationships/hyperlink" Target="https://jobs.lever.co/musixmatch/65971c0d-8220-47eb-a993-9705dc814c92/apply" TargetMode="External"/><Relationship Id="rId22" Type="http://schemas.openxmlformats.org/officeDocument/2006/relationships/hyperlink" Target="https://jobs.ashbyhq.com/myedspacecareers/e3519a68-d9b4-43c7-9cfe-855163c284b2/application" TargetMode="External"/><Relationship Id="rId23" Type="http://schemas.openxmlformats.org/officeDocument/2006/relationships/hyperlink" Target="https://jobs.eu.lever.co/eneba/df5397c1-489f-4eb9-a771-3d64eb42c86e/apply" TargetMode="External"/><Relationship Id="rId24" Type="http://schemas.openxmlformats.org/officeDocument/2006/relationships/hyperlink" Target="https://jobs.ashbyhq.com/supabase/23c9ce7e-6b7b-4316-8f00-8f318e902441/application" TargetMode="External"/><Relationship Id="rId25" Type="http://schemas.openxmlformats.org/officeDocument/2006/relationships/hyperlink" Target="https://jobs.ashbyhq.com/reflow/60f53162-d4d6-493f-a86b-2a4151816497/application" TargetMode="External"/><Relationship Id="rId26" Type="http://schemas.openxmlformats.org/officeDocument/2006/relationships/hyperlink" Target="https://jobs.ashbyhq.com/codex/3839fbad-7966-4c19-ad0f-138d8fa47062/application" TargetMode="External"/><Relationship Id="rId27" Type="http://schemas.openxmlformats.org/officeDocument/2006/relationships/hyperlink" Target="https://jobs.ashbyhq.com/checkly/39dceb59-01f6-43c9-9629-1055efd9697f/application" TargetMode="External"/><Relationship Id="rId28" Type="http://schemas.openxmlformats.org/officeDocument/2006/relationships/hyperlink" Target="https://jobs.ashbyhq.com/jimdo.com/7059268a-22f2-4a68-9bd8-e376c67a3b7b/application" TargetMode="External"/><Relationship Id="rId29" Type="http://schemas.openxmlformats.org/officeDocument/2006/relationships/hyperlink" Target="https://jobs.ashbyhq.com/taxfix.com/40703426-e9e5-4df0-9a6b-cea5526a5b05/application" TargetMode="External"/><Relationship Id="rId30" Type="http://schemas.openxmlformats.org/officeDocument/2006/relationships/hyperlink" Target="https://job-boards.greenhouse.io/embed/job_app?for=make&amp;token=7778897003" TargetMode="External"/><Relationship Id="rId3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hyperlink" Target="https://euremotejobs.com/job/arkipel-remote-within-the-1-1-cet-time-zone-range-full-time-product-engineer-at-join/" TargetMode="External"/><Relationship Id="rId2" Type="http://schemas.openxmlformats.org/officeDocument/2006/relationships/hyperlink" Target="https://join.com/companies/getaveryai/16375814-founding-engineer-core" TargetMode="External"/><Relationship Id="rId3" Type="http://schemas.openxmlformats.org/officeDocument/2006/relationships/hyperlink" Target="https://join.com/companies/gtmbaseio/16345856-forward-deployed-crm-architect" TargetMode="External"/><Relationship Id="rId4" Type="http://schemas.openxmlformats.org/officeDocument/2006/relationships/hyperlink" Target="https://join.com/companies/meetjamieai/16383408-ai-engineer-top-5-salary-band-in-europe" TargetMode="External"/><Relationship Id="rId5" Type="http://schemas.openxmlformats.org/officeDocument/2006/relationships/hyperlink" Target="https://join.com/companies/kfs1/16523505-junior-full-stack-developer-typescript-react-supabase-postgres" TargetMode="External"/><Relationship Id="rId6" Type="http://schemas.openxmlformats.org/officeDocument/2006/relationships/hyperlink" Target="https://join.com/companies/laioutr/16494968-ai-engineer-m-f-d-full-stack-typescript-nuxt-next-vue-react" TargetMode="External"/><Relationship Id="rId7" Type="http://schemas.openxmlformats.org/officeDocument/2006/relationships/hyperlink" Target="https://join.com/companies/oryn-groupcom/16512536-gtm-engineer-founding-partner-m-f-x" TargetMode="External"/><Relationship Id="rId8" Type="http://schemas.openxmlformats.org/officeDocument/2006/relationships/hyperlink" Target="https://join.com/companies" TargetMode="External"/><Relationship Id="rId9" Type="http://schemas.openxmlformats.org/officeDocument/2006/relationships/hyperlink" Target="https://join.com/companies/revos/15825399-ai-native-senior-full-stack-engineer" TargetMode="External"/><Relationship Id="rId10" Type="http://schemas.openxmlformats.org/officeDocument/2006/relationships/hyperlink" Target="https://join.com/companies/shippypro953/16512307-gtm-engineer" TargetMode="External"/><Relationship Id="rId11" Type="http://schemas.openxmlformats.org/officeDocument/2006/relationships/hyperlink" Target="https://join.com/companies/cargovibede/16370194-founding-engineer-all-genders" TargetMode="External"/><Relationship Id="rId12" Type="http://schemas.openxmlformats.org/officeDocument/2006/relationships/hyperlink" Target="https://join.com/companies" TargetMode="External"/><Relationship Id="rId13" Type="http://schemas.openxmlformats.org/officeDocument/2006/relationships/hyperlink" Target="https://join.com/companies/peopleix/16471347-full-stack-engineer-workflow-automation-platform-m-f-d" TargetMode="External"/><Relationship Id="rId14" Type="http://schemas.openxmlformats.org/officeDocument/2006/relationships/hyperlink" Target="https://join.com/companies/saleshax/16342286-full-stack-ai-developer-engineer-m-w-d" TargetMode="External"/><Relationship Id="rId15" Type="http://schemas.openxmlformats.org/officeDocument/2006/relationships/hyperlink" Target="https://apply.workable.com/digitalgenius/j/E03A435AC1" TargetMode="External"/><Relationship Id="rId16" Type="http://schemas.openxmlformats.org/officeDocument/2006/relationships/hyperlink" Target="https://apply.workable.com/laravel/j/E2EEEA7303" TargetMode="External"/><Relationship Id="rId17" Type="http://schemas.openxmlformats.org/officeDocument/2006/relationships/hyperlink" Target="https://apply.workable.com/toloka-ai/j/F5013CA4FC/apply/" TargetMode="External"/><Relationship Id="rId18" Type="http://schemas.openxmlformats.org/officeDocument/2006/relationships/hyperlink" Target="https://apply.workable.com/moneyfarm/j/DD702C60CF/" TargetMode="External"/><Relationship Id="rId19" Type="http://schemas.openxmlformats.org/officeDocument/2006/relationships/hyperlink" Target="https://apply.workable.com/remofirst/j/CB946C18D3" TargetMode="External"/><Relationship Id="rId20" Type="http://schemas.openxmlformats.org/officeDocument/2006/relationships/hyperlink" Target="https://apply.workable.com/salescaptain/j/5D318B62CB/" TargetMode="External"/><Relationship Id="rId21" Type="http://schemas.openxmlformats.org/officeDocument/2006/relationships/hyperlink" Target="https://it.indeed.com/viewjob?jk=75f472b960751e88" TargetMode="External"/><Relationship Id="rId22" Type="http://schemas.openxmlformats.org/officeDocument/2006/relationships/hyperlink" Target="https://it.indeed.com/viewjob?jk=ca2f94a1378e690d" TargetMode="External"/><Relationship Id="rId23" Type="http://schemas.openxmlformats.org/officeDocument/2006/relationships/hyperlink" Target="https://it.indeed.com/viewjob?jk=09dad482b024076d" TargetMode="External"/><Relationship Id="rId24" Type="http://schemas.openxmlformats.org/officeDocument/2006/relationships/hyperlink" Target="https://jobs.smartrecruiters.com/Docplanner" TargetMode="External"/><Relationship Id="rId25" Type="http://schemas.openxmlformats.org/officeDocument/2006/relationships/hyperlink" Target="https://job-boards.eu.greenhouse.io/gensyn/jobs/4660248101" TargetMode="External"/><Relationship Id="rId26" Type="http://schemas.openxmlformats.org/officeDocument/2006/relationships/hyperlink" Target="https://jobs.ashbyhq.com/kairos-project/d0aeae33-8eae-4d58-ac30-369a87dd90c7/application" TargetMode="External"/><Relationship Id="rId27" Type="http://schemas.openxmlformats.org/officeDocument/2006/relationships/hyperlink" Target="https://job-boards.greenhouse.io/fueledcareers/jobs/4038230008" TargetMode="External"/><Relationship Id="rId28" Type="http://schemas.openxmlformats.org/officeDocument/2006/relationships/hyperlink" Target="https://holtzbrinck-careers.softgarden.io/job/62651254/" TargetMode="External"/><Relationship Id="rId29" Type="http://schemas.openxmlformats.org/officeDocument/2006/relationships/hyperlink" Target="https://himalayas.app/companies/paires/jobs/gtm-engineer" TargetMode="External"/><Relationship Id="rId30" Type="http://schemas.openxmlformats.org/officeDocument/2006/relationships/hyperlink" Target="https://job-boards.greenhouse.io/sourcegraph91/jobs/6113147004" TargetMode="External"/><Relationship Id="rId31" Type="http://schemas.openxmlformats.org/officeDocument/2006/relationships/hyperlink" Target="https://job-boards.greenhouse.io/alertmedia/jobs/8656401002" TargetMode="External"/><Relationship Id="rId32" Type="http://schemas.openxmlformats.org/officeDocument/2006/relationships/hyperlink" Target="https://jobs.ashbyhq.com/attio" TargetMode="External"/><Relationship Id="rId33" Type="http://schemas.openxmlformats.org/officeDocument/2006/relationships/hyperlink" Target="https://jobs.ashbyhq.com/ben" TargetMode="External"/><Relationship Id="rId34" Type="http://schemas.openxmlformats.org/officeDocument/2006/relationships/hyperlink" Target="https://cresta.com/careers" TargetMode="External"/><Relationship Id="rId35" Type="http://schemas.openxmlformats.org/officeDocument/2006/relationships/hyperlink" Target="https://job-boards.greenhouse.io/customerio/jobs/8089365" TargetMode="External"/><Relationship Id="rId36" Type="http://schemas.openxmlformats.org/officeDocument/2006/relationships/hyperlink" Target="https://jobs.ashbyhq.com/lovable/7fe39289-1f7f-47d4-8002-d3aeeaaaabc6/application" TargetMode="External"/><Relationship Id="rId37" Type="http://schemas.openxmlformats.org/officeDocument/2006/relationships/hyperlink" Target="https://builtin.com/job/software-engineer-cloud-backend/6802123" TargetMode="External"/><Relationship Id="rId38" Type="http://schemas.openxmlformats.org/officeDocument/2006/relationships/hyperlink" Target="https://it.indeed.com/viewjob?jk=ec83a38a6467bd5d" TargetMode="External"/><Relationship Id="rId39" Type="http://schemas.openxmlformats.org/officeDocument/2006/relationships/hyperlink" Target="https://jobs.ashbyhq.com/satispay/45744663-4768-48d1-81c9-218eb54a2027/application" TargetMode="External"/><Relationship Id="rId40" Type="http://schemas.openxmlformats.org/officeDocument/2006/relationships/hyperlink" Target="https://jobs.ashbyhq.com/the-global-talent-co/141a52e8-050a-4761-8d5d-746f1a592efb/application" TargetMode="External"/><Relationship Id="rId41" Type="http://schemas.openxmlformats.org/officeDocument/2006/relationships/hyperlink" Target="https://epilot.cloud/careers" TargetMode="External"/><Relationship Id="rId42"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hyperlink" Target="https://www.linkedin.com/company/wemakefuture/" TargetMode="External"/><Relationship Id="rId2" Type="http://schemas.openxmlformats.org/officeDocument/2006/relationships/hyperlink" Target="https://de.linkedin.com/company/aoe" TargetMode="External"/><Relationship Id="rId3" Type="http://schemas.openxmlformats.org/officeDocument/2006/relationships/hyperlink" Target="https://www.linkedin.com/company/aticco" TargetMode="External"/><Relationship Id="rId4" Type="http://schemas.openxmlformats.org/officeDocument/2006/relationships/hyperlink" Target="https://www.linkedin.com/company/wearecloudworks" TargetMode="External"/><Relationship Id="rId5" Type="http://schemas.openxmlformats.org/officeDocument/2006/relationships/hyperlink" Target="https://www.linkedin.com/company/cobot/" TargetMode="External"/><Relationship Id="rId6" Type="http://schemas.openxmlformats.org/officeDocument/2006/relationships/hyperlink" Target="https://www.linkedin.com/company/copernicowork/" TargetMode="External"/><Relationship Id="rId7" Type="http://schemas.openxmlformats.org/officeDocument/2006/relationships/hyperlink" Target="https://www.linkedin.com/company/coworkies" TargetMode="External"/><Relationship Id="rId8" Type="http://schemas.openxmlformats.org/officeDocument/2006/relationships/hyperlink" Target="https://www.linkedin.com/company/deskimoapp" TargetMode="External"/><Relationship Id="rId9" Type="http://schemas.openxmlformats.org/officeDocument/2006/relationships/hyperlink" Target="https://www.linkedin.com/company/digitalcubeai/" TargetMode="External"/><Relationship Id="rId10" Type="http://schemas.openxmlformats.org/officeDocument/2006/relationships/hyperlink" Target="https://www.linkedin.com/company/flexas" TargetMode="External"/><Relationship Id="rId11" Type="http://schemas.openxmlformats.org/officeDocument/2006/relationships/hyperlink" Target="https://www.linkedin.com/company/impacthubmilano%20and%20https://www.linkedin.com/company/impacthubnetwork" TargetMode="External"/><Relationship Id="rId12" Type="http://schemas.openxmlformats.org/officeDocument/2006/relationships/hyperlink" Target="https://www.linkedin.com/company/makeitfuture/" TargetMode="External"/><Relationship Id="rId13" Type="http://schemas.openxmlformats.org/officeDocument/2006/relationships/hyperlink" Target="https://www.linkedin.com/company/stx-next-ai-solutions" TargetMode="External"/><Relationship Id="rId14" Type="http://schemas.openxmlformats.org/officeDocument/2006/relationships/hyperlink" Target="https://www.linkedin.com/company/saleslift-studio/" TargetMode="External"/><Relationship Id="rId15" Type="http://schemas.openxmlformats.org/officeDocument/2006/relationships/hyperlink" Target="https://www.linkedin.com/company/spacebring" TargetMode="External"/><Relationship Id="rId16" Type="http://schemas.openxmlformats.org/officeDocument/2006/relationships/hyperlink" Target="https://www.linkedin.com/company/spacent/" TargetMode="External"/><Relationship Id="rId17" Type="http://schemas.openxmlformats.org/officeDocument/2006/relationships/hyperlink" Target="https://www.linkedin.com/company/talentgarden" TargetMode="External"/><Relationship Id="rId18" Type="http://schemas.openxmlformats.org/officeDocument/2006/relationships/hyperlink" Target="https://linkedin.com/company/workfloows" TargetMode="External"/><Relationship Id="rId19" Type="http://schemas.openxmlformats.org/officeDocument/2006/relationships/hyperlink" Target="https://www.linkedin.com/company/zapfloorhq" TargetMode="External"/><Relationship Id="rId20" Type="http://schemas.openxmlformats.org/officeDocument/2006/relationships/hyperlink" Target="https://www.linkedin.com/company/atlantisdx" TargetMode="External"/><Relationship Id="rId21" Type="http://schemas.openxmlformats.org/officeDocument/2006/relationships/hyperlink" Target="https://www.linkedin.com/company/ace-workflow" TargetMode="External"/><Relationship Id="rId22" Type="http://schemas.openxmlformats.org/officeDocument/2006/relationships/hyperlink" Target="https://www.linkedin.com/company/archieapp" TargetMode="External"/><Relationship Id="rId23" Type="http://schemas.openxmlformats.org/officeDocument/2006/relationships/hyperlink" Target="https://www.linkedin.com/company/decodifai" TargetMode="External"/><Relationship Id="rId24" Type="http://schemas.openxmlformats.org/officeDocument/2006/relationships/hyperlink" Target="https://www.linkedin.com/company/goodspeed-studio/" TargetMode="External"/><Relationship Id="rId25" Type="http://schemas.openxmlformats.org/officeDocument/2006/relationships/hyperlink" Target="https://www.linkedin.com/company/huckletree" TargetMode="External"/><Relationship Id="rId26" Type="http://schemas.openxmlformats.org/officeDocument/2006/relationships/hyperlink" Target="https://nl.linkedin.com/company/leapforce-nl" TargetMode="External"/><Relationship Id="rId27" Type="http://schemas.openxmlformats.org/officeDocument/2006/relationships/hyperlink" Target="https://www.linkedin.com/company/netguru" TargetMode="External"/><Relationship Id="rId28" Type="http://schemas.openxmlformats.org/officeDocument/2006/relationships/hyperlink" Target="https://www.linkedin.com/company/sharedesk" TargetMode="External"/><Relationship Id="rId29" Type="http://schemas.openxmlformats.org/officeDocument/2006/relationships/hyperlink" Target="https://www.linkedin.com/company/roboyo" TargetMode="External"/><Relationship Id="rId30" Type="http://schemas.openxmlformats.org/officeDocument/2006/relationships/hyperlink" Target="https://www.linkedin.com/company/upflex" TargetMode="External"/><Relationship Id="rId31" Type="http://schemas.openxmlformats.org/officeDocument/2006/relationships/hyperlink" Target="https://www.linkedin.com/company/betahaus/" TargetMode="External"/><Relationship Id="rId32"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6"/>
    <col collapsed="false" customWidth="true" hidden="false" outlineLevel="0" max="2" min="2" style="1" width="14"/>
    <col collapsed="false" customWidth="true" hidden="false" outlineLevel="0" max="3" min="3" style="1" width="34"/>
    <col collapsed="false" customWidth="true" hidden="false" outlineLevel="0" max="4" min="4" style="1" width="110"/>
  </cols>
  <sheetData>
    <row r="1" customFormat="false" ht="18"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4" t="s">
        <v>2</v>
      </c>
      <c r="B4" s="4" t="s">
        <v>3</v>
      </c>
      <c r="C4" s="4" t="s">
        <v>4</v>
      </c>
    </row>
    <row r="5" customFormat="false" ht="15" hidden="false" customHeight="true" outlineLevel="0" collapsed="false">
      <c r="A5" s="5" t="s">
        <v>5</v>
      </c>
      <c r="B5" s="6" t="n">
        <f aca="false">COUNTA('New leads'!C5:C338)+COUNTA('FlowSpace-like platforms'!C5:C35)</f>
        <v>365</v>
      </c>
      <c r="C5" s="7" t="s">
        <v>6</v>
      </c>
    </row>
    <row r="6" customFormat="false" ht="15" hidden="false" customHeight="true" outlineLevel="0" collapsed="false">
      <c r="A6" s="7" t="s">
        <v>7</v>
      </c>
      <c r="B6" s="6" t="n">
        <f aca="false">COUNTA('New leads'!C5:C338)</f>
        <v>334</v>
      </c>
      <c r="C6" s="7" t="s">
        <v>8</v>
      </c>
    </row>
    <row r="7" customFormat="false" ht="15" hidden="false" customHeight="true" outlineLevel="0" collapsed="false">
      <c r="A7" s="7" t="s">
        <v>9</v>
      </c>
      <c r="B7" s="6" t="n">
        <f aca="false">COUNTA('FlowSpace-like platforms'!C5:C35)</f>
        <v>31</v>
      </c>
      <c r="C7" s="7" t="s">
        <v>10</v>
      </c>
    </row>
    <row r="8" customFormat="false" ht="15" hidden="false" customHeight="true" outlineLevel="0" collapsed="false">
      <c r="A8" s="5" t="s">
        <v>11</v>
      </c>
      <c r="B8" s="6" t="n">
        <f aca="false">COUNTIF('New leads'!E5:E338,"1*")</f>
        <v>111</v>
      </c>
      <c r="C8" s="7" t="s">
        <v>12</v>
      </c>
    </row>
    <row r="9" customFormat="false" ht="15" hidden="false" customHeight="true" outlineLevel="0" collapsed="false">
      <c r="A9" s="5" t="s">
        <v>13</v>
      </c>
      <c r="B9" s="6" t="n">
        <f aca="false">COUNTA(Submitted!B5:B34)</f>
        <v>30</v>
      </c>
      <c r="C9" s="7" t="s">
        <v>14</v>
      </c>
    </row>
    <row r="10" customFormat="false" ht="15" hidden="false" customHeight="true" outlineLevel="0" collapsed="false">
      <c r="A10" s="5" t="s">
        <v>15</v>
      </c>
      <c r="B10" s="6" t="n">
        <f aca="false">COUNTA('Needs you or blocked'!A5:A45)</f>
        <v>41</v>
      </c>
      <c r="C10" s="7" t="s">
        <v>16</v>
      </c>
    </row>
    <row r="11" customFormat="false" ht="15" hidden="false" customHeight="true" outlineLevel="0" collapsed="false">
      <c r="A11" s="7" t="s">
        <v>17</v>
      </c>
      <c r="B11" s="6" t="n">
        <f aca="false">COUNTIF('Needs you or blocked'!C5:C45,"join.com sign-in")+COUNTIF('Needs you or blocked'!C5:C45,"workable domain unreachable")+COUNTIF('Needs you or blocked'!C5:C45,"Indeed apply flow needs him")</f>
        <v>23</v>
      </c>
      <c r="C11" s="7" t="s">
        <v>18</v>
      </c>
    </row>
    <row r="12" customFormat="false" ht="15" hidden="false" customHeight="true" outlineLevel="0" collapsed="false">
      <c r="A12" s="5" t="s">
        <v>19</v>
      </c>
      <c r="B12" s="6" t="n">
        <f aca="false">COUNTA('Outreach targets'!A5:A38)</f>
        <v>34</v>
      </c>
      <c r="C12" s="7" t="s">
        <v>20</v>
      </c>
    </row>
    <row r="13" customFormat="false" ht="15" hidden="false" customHeight="true" outlineLevel="0" collapsed="false">
      <c r="A13" s="7" t="s">
        <v>21</v>
      </c>
      <c r="B13" s="6" t="n">
        <f aca="false">COUNTIF('Outreach targets'!D5:D38,"both")</f>
        <v>21</v>
      </c>
      <c r="C13" s="7" t="s">
        <v>22</v>
      </c>
    </row>
    <row r="14" customFormat="false" ht="15" hidden="false" customHeight="true" outlineLevel="0" collapsed="false">
      <c r="A14" s="5" t="s">
        <v>23</v>
      </c>
      <c r="B14" s="6" t="n">
        <f aca="false">MAX('New leads'!A5:A338)</f>
        <v>100</v>
      </c>
      <c r="C14" s="7" t="s">
        <v>8</v>
      </c>
    </row>
    <row r="15" customFormat="false" ht="18" hidden="false" customHeight="true" outlineLevel="0" collapsed="false">
      <c r="A15" s="5" t="s">
        <v>24</v>
      </c>
      <c r="B15" s="6" t="n">
        <f aca="false">MEDIAN('New leads'!A5:A338)</f>
        <v>75</v>
      </c>
      <c r="C15" s="7" t="s">
        <v>8</v>
      </c>
    </row>
    <row r="16" customFormat="false" ht="15" hidden="false" customHeight="true" outlineLevel="0" collapsed="false">
      <c r="A16" s="5" t="s">
        <v>25</v>
      </c>
      <c r="B16" s="6" t="n">
        <f aca="false">MAX('FlowSpace-like platforms'!A5:A35)</f>
        <v>99</v>
      </c>
      <c r="C16" s="7" t="s">
        <v>10</v>
      </c>
    </row>
    <row r="17" customFormat="false" ht="23.25" hidden="false" customHeight="true" outlineLevel="0" collapsed="false"/>
    <row r="18" customFormat="false" ht="23.25" hidden="false" customHeight="true" outlineLevel="0" collapsed="false">
      <c r="A18" s="2" t="s">
        <v>26</v>
      </c>
    </row>
    <row r="19" customFormat="false" ht="23.25" hidden="false" customHeight="true" outlineLevel="0" collapsed="false">
      <c r="A19" s="8" t="s">
        <v>27</v>
      </c>
      <c r="D19" s="9" t="s">
        <v>28</v>
      </c>
    </row>
    <row r="20" customFormat="false" ht="34.5" hidden="false" customHeight="true" outlineLevel="0" collapsed="false">
      <c r="A20" s="8" t="s">
        <v>29</v>
      </c>
      <c r="D20" s="9" t="s">
        <v>30</v>
      </c>
    </row>
    <row r="21" customFormat="false" ht="23.25" hidden="false" customHeight="true" outlineLevel="0" collapsed="false">
      <c r="A21" s="8" t="s">
        <v>31</v>
      </c>
      <c r="D21" s="9" t="s">
        <v>32</v>
      </c>
    </row>
    <row r="22" customFormat="false" ht="23.25" hidden="false" customHeight="true" outlineLevel="0" collapsed="false">
      <c r="A22" s="8" t="s">
        <v>33</v>
      </c>
      <c r="D22" s="9" t="s">
        <v>34</v>
      </c>
    </row>
    <row r="23" customFormat="false" ht="34.5" hidden="false" customHeight="true" outlineLevel="0" collapsed="false">
      <c r="A23" s="8" t="s">
        <v>35</v>
      </c>
      <c r="D23" s="9" t="s">
        <v>36</v>
      </c>
    </row>
    <row r="24" customFormat="false" ht="23.25" hidden="false" customHeight="true" outlineLevel="0" collapsed="false">
      <c r="A24" s="8" t="s">
        <v>37</v>
      </c>
      <c r="D24" s="9" t="s">
        <v>38</v>
      </c>
    </row>
    <row r="25" customFormat="false" ht="23.25" hidden="false" customHeight="true" outlineLevel="0" collapsed="false">
      <c r="A25" s="8" t="s">
        <v>39</v>
      </c>
      <c r="D25" s="9" t="s">
        <v>40</v>
      </c>
    </row>
    <row r="26" customFormat="false" ht="34.5" hidden="false" customHeight="true" outlineLevel="0" collapsed="false">
      <c r="A26" s="8" t="s">
        <v>41</v>
      </c>
      <c r="D26" s="9" t="s">
        <v>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46"/>
    <col collapsed="false" customWidth="true" hidden="false" outlineLevel="0" max="3" min="3" style="1" width="26"/>
    <col collapsed="false" customWidth="true" hidden="false" outlineLevel="0" max="4" min="4" style="1" width="46"/>
    <col collapsed="false" customWidth="true" hidden="false" outlineLevel="0" max="5" min="5" style="1" width="7"/>
    <col collapsed="false" customWidth="true" hidden="false" outlineLevel="0" max="6" min="6" style="1" width="13"/>
    <col collapsed="false" customWidth="true" hidden="false" outlineLevel="0" max="8" min="7" style="1" width="34"/>
    <col collapsed="false" customWidth="true" hidden="false" outlineLevel="0" max="9" min="9" style="1" width="22"/>
    <col collapsed="false" customWidth="true" hidden="false" outlineLevel="0" max="11" min="10" style="1" width="74"/>
    <col collapsed="false" customWidth="true" hidden="false" outlineLevel="0" max="12" min="12" style="1" width="50"/>
    <col collapsed="false" customWidth="true" hidden="false" outlineLevel="0" max="13" min="13" style="1" width="60"/>
  </cols>
  <sheetData>
    <row r="1" customFormat="false" ht="18" hidden="false" customHeight="true" outlineLevel="0" collapsed="false">
      <c r="A1" s="2" t="s">
        <v>43</v>
      </c>
    </row>
    <row r="2" customFormat="false" ht="15" hidden="false" customHeight="true" outlineLevel="0" collapsed="false">
      <c r="A2" s="3" t="s">
        <v>44</v>
      </c>
    </row>
    <row r="4" customFormat="false" ht="30" hidden="false" customHeight="true" outlineLevel="0" collapsed="false">
      <c r="A4" s="4" t="s">
        <v>33</v>
      </c>
      <c r="B4" s="4" t="s">
        <v>45</v>
      </c>
      <c r="C4" s="4" t="s">
        <v>46</v>
      </c>
      <c r="D4" s="4" t="s">
        <v>47</v>
      </c>
      <c r="E4" s="4" t="s">
        <v>48</v>
      </c>
      <c r="F4" s="4" t="s">
        <v>49</v>
      </c>
      <c r="G4" s="4" t="s">
        <v>50</v>
      </c>
      <c r="H4" s="4" t="s">
        <v>51</v>
      </c>
      <c r="I4" s="4" t="s">
        <v>52</v>
      </c>
      <c r="J4" s="4" t="s">
        <v>53</v>
      </c>
      <c r="K4" s="4" t="s">
        <v>54</v>
      </c>
      <c r="L4" s="4" t="s">
        <v>55</v>
      </c>
      <c r="M4" s="4" t="s">
        <v>56</v>
      </c>
    </row>
    <row r="5" customFormat="false" ht="23.25" hidden="false" customHeight="true" outlineLevel="0" collapsed="false">
      <c r="A5" s="10" t="n">
        <v>100</v>
      </c>
      <c r="B5" s="7" t="s">
        <v>57</v>
      </c>
      <c r="C5" s="7" t="s">
        <v>58</v>
      </c>
      <c r="D5" s="7" t="s">
        <v>59</v>
      </c>
      <c r="E5" s="11" t="s">
        <v>60</v>
      </c>
      <c r="F5" s="7" t="s">
        <v>61</v>
      </c>
      <c r="G5" s="7" t="s">
        <v>62</v>
      </c>
      <c r="H5" s="7" t="s">
        <v>63</v>
      </c>
      <c r="I5" s="7" t="s">
        <v>64</v>
      </c>
      <c r="J5" s="7" t="s">
        <v>65</v>
      </c>
      <c r="K5" s="7" t="s">
        <v>66</v>
      </c>
      <c r="L5" s="12" t="s">
        <v>67</v>
      </c>
      <c r="M5" s="7" t="s">
        <v>68</v>
      </c>
    </row>
    <row r="6" customFormat="false" ht="23.25" hidden="false" customHeight="true" outlineLevel="0" collapsed="false">
      <c r="A6" s="10" t="n">
        <v>100</v>
      </c>
      <c r="B6" s="7" t="s">
        <v>69</v>
      </c>
      <c r="C6" s="7" t="s">
        <v>70</v>
      </c>
      <c r="D6" s="7" t="s">
        <v>71</v>
      </c>
      <c r="E6" s="11" t="s">
        <v>60</v>
      </c>
      <c r="F6" s="7" t="s">
        <v>72</v>
      </c>
      <c r="G6" s="7" t="s">
        <v>73</v>
      </c>
      <c r="H6" s="7" t="s">
        <v>74</v>
      </c>
      <c r="I6" s="7" t="s">
        <v>75</v>
      </c>
      <c r="J6" s="7" t="s">
        <v>76</v>
      </c>
      <c r="K6" s="7" t="s">
        <v>77</v>
      </c>
      <c r="L6" s="12" t="s">
        <v>78</v>
      </c>
      <c r="M6" s="7" t="s">
        <v>79</v>
      </c>
    </row>
    <row r="7" customFormat="false" ht="34.5" hidden="false" customHeight="true" outlineLevel="0" collapsed="false">
      <c r="A7" s="10" t="n">
        <v>99</v>
      </c>
      <c r="B7" s="7" t="s">
        <v>80</v>
      </c>
      <c r="C7" s="7" t="s">
        <v>81</v>
      </c>
      <c r="D7" s="7" t="s">
        <v>82</v>
      </c>
      <c r="E7" s="11" t="s">
        <v>60</v>
      </c>
      <c r="F7" s="7" t="s">
        <v>61</v>
      </c>
      <c r="G7" s="7" t="s">
        <v>83</v>
      </c>
      <c r="H7" s="7" t="s">
        <v>63</v>
      </c>
      <c r="I7" s="7" t="s">
        <v>84</v>
      </c>
      <c r="J7" s="7" t="s">
        <v>85</v>
      </c>
      <c r="K7" s="7" t="s">
        <v>86</v>
      </c>
      <c r="L7" s="12" t="s">
        <v>87</v>
      </c>
      <c r="M7" s="7" t="s">
        <v>88</v>
      </c>
    </row>
    <row r="8" customFormat="false" ht="34.5" hidden="false" customHeight="true" outlineLevel="0" collapsed="false">
      <c r="A8" s="10" t="n">
        <v>98</v>
      </c>
      <c r="B8" s="7" t="s">
        <v>89</v>
      </c>
      <c r="C8" s="7" t="s">
        <v>90</v>
      </c>
      <c r="D8" s="7" t="s">
        <v>91</v>
      </c>
      <c r="E8" s="11" t="s">
        <v>60</v>
      </c>
      <c r="F8" s="7" t="s">
        <v>72</v>
      </c>
      <c r="G8" s="7" t="s">
        <v>73</v>
      </c>
      <c r="H8" s="7" t="s">
        <v>92</v>
      </c>
      <c r="I8" s="7" t="s">
        <v>93</v>
      </c>
      <c r="J8" s="7" t="s">
        <v>94</v>
      </c>
      <c r="K8" s="7" t="s">
        <v>95</v>
      </c>
      <c r="L8" s="12" t="s">
        <v>96</v>
      </c>
      <c r="M8" s="7" t="s">
        <v>97</v>
      </c>
    </row>
    <row r="9" customFormat="false" ht="34.5" hidden="false" customHeight="true" outlineLevel="0" collapsed="false">
      <c r="A9" s="10" t="n">
        <v>98</v>
      </c>
      <c r="B9" s="7" t="s">
        <v>98</v>
      </c>
      <c r="C9" s="7" t="s">
        <v>99</v>
      </c>
      <c r="D9" s="7" t="s">
        <v>71</v>
      </c>
      <c r="E9" s="11" t="s">
        <v>60</v>
      </c>
      <c r="F9" s="7" t="s">
        <v>72</v>
      </c>
      <c r="G9" s="7" t="s">
        <v>73</v>
      </c>
      <c r="H9" s="7" t="s">
        <v>100</v>
      </c>
      <c r="I9" s="7" t="s">
        <v>101</v>
      </c>
      <c r="J9" s="7" t="s">
        <v>102</v>
      </c>
      <c r="K9" s="7" t="s">
        <v>103</v>
      </c>
      <c r="L9" s="12" t="s">
        <v>104</v>
      </c>
      <c r="M9" s="7" t="s">
        <v>105</v>
      </c>
    </row>
    <row r="10" customFormat="false" ht="34.5" hidden="false" customHeight="true" outlineLevel="0" collapsed="false">
      <c r="A10" s="10" t="n">
        <v>96</v>
      </c>
      <c r="B10" s="7" t="s">
        <v>106</v>
      </c>
      <c r="C10" s="7" t="s">
        <v>107</v>
      </c>
      <c r="D10" s="7" t="s">
        <v>108</v>
      </c>
      <c r="E10" s="11" t="s">
        <v>60</v>
      </c>
      <c r="F10" s="7" t="s">
        <v>109</v>
      </c>
      <c r="G10" s="7" t="s">
        <v>73</v>
      </c>
      <c r="H10" s="7" t="s">
        <v>63</v>
      </c>
      <c r="I10" s="7" t="s">
        <v>110</v>
      </c>
      <c r="J10" s="7" t="s">
        <v>111</v>
      </c>
      <c r="K10" s="7" t="s">
        <v>112</v>
      </c>
      <c r="L10" s="12" t="s">
        <v>113</v>
      </c>
      <c r="M10" s="7" t="s">
        <v>114</v>
      </c>
    </row>
    <row r="11" customFormat="false" ht="45.75" hidden="false" customHeight="true" outlineLevel="0" collapsed="false">
      <c r="A11" s="10" t="n">
        <v>95</v>
      </c>
      <c r="B11" s="7" t="s">
        <v>115</v>
      </c>
      <c r="C11" s="7" t="s">
        <v>116</v>
      </c>
      <c r="D11" s="7" t="s">
        <v>117</v>
      </c>
      <c r="E11" s="11" t="s">
        <v>60</v>
      </c>
      <c r="F11" s="7" t="s">
        <v>72</v>
      </c>
      <c r="G11" s="7" t="s">
        <v>118</v>
      </c>
      <c r="H11" s="7" t="s">
        <v>119</v>
      </c>
      <c r="I11" s="7" t="s">
        <v>120</v>
      </c>
      <c r="J11" s="7" t="s">
        <v>121</v>
      </c>
      <c r="K11" s="7" t="s">
        <v>122</v>
      </c>
      <c r="L11" s="12" t="s">
        <v>123</v>
      </c>
      <c r="M11" s="7" t="s">
        <v>124</v>
      </c>
    </row>
    <row r="12" customFormat="false" ht="45.75" hidden="false" customHeight="true" outlineLevel="0" collapsed="false">
      <c r="A12" s="10" t="n">
        <v>95</v>
      </c>
      <c r="B12" s="7" t="s">
        <v>125</v>
      </c>
      <c r="C12" s="7" t="s">
        <v>126</v>
      </c>
      <c r="D12" s="7" t="s">
        <v>127</v>
      </c>
      <c r="E12" s="11" t="s">
        <v>60</v>
      </c>
      <c r="F12" s="7" t="s">
        <v>61</v>
      </c>
      <c r="G12" s="7" t="s">
        <v>128</v>
      </c>
      <c r="H12" s="7" t="s">
        <v>63</v>
      </c>
      <c r="I12" s="7" t="s">
        <v>129</v>
      </c>
      <c r="J12" s="7" t="s">
        <v>130</v>
      </c>
      <c r="K12" s="7" t="s">
        <v>131</v>
      </c>
      <c r="L12" s="12" t="s">
        <v>132</v>
      </c>
      <c r="M12" s="7" t="s">
        <v>133</v>
      </c>
    </row>
    <row r="13" customFormat="false" ht="23.25" hidden="false" customHeight="true" outlineLevel="0" collapsed="false">
      <c r="A13" s="10" t="n">
        <v>95</v>
      </c>
      <c r="B13" s="7" t="s">
        <v>134</v>
      </c>
      <c r="C13" s="7" t="s">
        <v>135</v>
      </c>
      <c r="D13" s="7" t="s">
        <v>136</v>
      </c>
      <c r="E13" s="11" t="s">
        <v>60</v>
      </c>
      <c r="F13" s="7" t="s">
        <v>61</v>
      </c>
      <c r="G13" s="7" t="s">
        <v>137</v>
      </c>
      <c r="H13" s="7" t="s">
        <v>63</v>
      </c>
      <c r="I13" s="7" t="s">
        <v>63</v>
      </c>
      <c r="J13" s="7" t="s">
        <v>138</v>
      </c>
      <c r="K13" s="7" t="s">
        <v>139</v>
      </c>
      <c r="L13" s="12" t="s">
        <v>140</v>
      </c>
      <c r="M13" s="7" t="s">
        <v>141</v>
      </c>
    </row>
    <row r="14" customFormat="false" ht="23.25" hidden="false" customHeight="true" outlineLevel="0" collapsed="false">
      <c r="A14" s="10" t="n">
        <v>94</v>
      </c>
      <c r="B14" s="7" t="s">
        <v>142</v>
      </c>
      <c r="C14" s="7" t="s">
        <v>143</v>
      </c>
      <c r="D14" s="7" t="s">
        <v>71</v>
      </c>
      <c r="E14" s="11" t="s">
        <v>60</v>
      </c>
      <c r="F14" s="7" t="s">
        <v>72</v>
      </c>
      <c r="G14" s="7" t="s">
        <v>73</v>
      </c>
      <c r="H14" s="7" t="s">
        <v>74</v>
      </c>
      <c r="I14" s="7" t="s">
        <v>144</v>
      </c>
      <c r="J14" s="7" t="s">
        <v>145</v>
      </c>
      <c r="K14" s="7" t="s">
        <v>146</v>
      </c>
      <c r="L14" s="12" t="s">
        <v>147</v>
      </c>
      <c r="M14" s="7" t="s">
        <v>148</v>
      </c>
    </row>
    <row r="15" customFormat="false" ht="34.5" hidden="false" customHeight="true" outlineLevel="0" collapsed="false">
      <c r="A15" s="10" t="n">
        <v>93</v>
      </c>
      <c r="B15" s="7" t="s">
        <v>149</v>
      </c>
      <c r="C15" s="7" t="s">
        <v>150</v>
      </c>
      <c r="D15" s="7" t="s">
        <v>151</v>
      </c>
      <c r="E15" s="11" t="s">
        <v>60</v>
      </c>
      <c r="F15" s="7" t="s">
        <v>72</v>
      </c>
      <c r="G15" s="7" t="s">
        <v>73</v>
      </c>
      <c r="H15" s="7" t="s">
        <v>152</v>
      </c>
      <c r="I15" s="7" t="s">
        <v>144</v>
      </c>
      <c r="J15" s="7" t="s">
        <v>153</v>
      </c>
      <c r="K15" s="7" t="s">
        <v>154</v>
      </c>
      <c r="L15" s="12" t="s">
        <v>155</v>
      </c>
      <c r="M15" s="7" t="s">
        <v>156</v>
      </c>
    </row>
    <row r="16" customFormat="false" ht="34.5" hidden="false" customHeight="true" outlineLevel="0" collapsed="false">
      <c r="A16" s="10" t="n">
        <v>92</v>
      </c>
      <c r="B16" s="7" t="s">
        <v>157</v>
      </c>
      <c r="C16" s="7" t="s">
        <v>158</v>
      </c>
      <c r="D16" s="7" t="s">
        <v>159</v>
      </c>
      <c r="E16" s="11" t="s">
        <v>60</v>
      </c>
      <c r="F16" s="7" t="s">
        <v>61</v>
      </c>
      <c r="G16" s="7" t="s">
        <v>160</v>
      </c>
      <c r="H16" s="7" t="s">
        <v>63</v>
      </c>
      <c r="I16" s="7" t="s">
        <v>161</v>
      </c>
      <c r="J16" s="7" t="s">
        <v>162</v>
      </c>
      <c r="K16" s="7" t="s">
        <v>163</v>
      </c>
      <c r="L16" s="12" t="s">
        <v>164</v>
      </c>
      <c r="M16" s="7" t="s">
        <v>165</v>
      </c>
    </row>
    <row r="17" customFormat="false" ht="23.25" hidden="false" customHeight="true" outlineLevel="0" collapsed="false">
      <c r="A17" s="10" t="n">
        <v>92</v>
      </c>
      <c r="B17" s="7" t="s">
        <v>166</v>
      </c>
      <c r="C17" s="7" t="s">
        <v>167</v>
      </c>
      <c r="D17" s="7" t="s">
        <v>168</v>
      </c>
      <c r="E17" s="11" t="s">
        <v>60</v>
      </c>
      <c r="F17" s="7" t="s">
        <v>61</v>
      </c>
      <c r="G17" s="7" t="s">
        <v>63</v>
      </c>
      <c r="H17" s="7" t="s">
        <v>63</v>
      </c>
      <c r="I17" s="7" t="s">
        <v>63</v>
      </c>
      <c r="J17" s="7" t="s">
        <v>169</v>
      </c>
      <c r="K17" s="7" t="s">
        <v>170</v>
      </c>
      <c r="L17" s="12" t="s">
        <v>171</v>
      </c>
      <c r="M17" s="7" t="s">
        <v>172</v>
      </c>
    </row>
    <row r="18" customFormat="false" ht="23.25" hidden="false" customHeight="true" outlineLevel="0" collapsed="false">
      <c r="A18" s="10" t="n">
        <v>91</v>
      </c>
      <c r="B18" s="7" t="s">
        <v>173</v>
      </c>
      <c r="C18" s="7" t="s">
        <v>174</v>
      </c>
      <c r="D18" s="7" t="s">
        <v>175</v>
      </c>
      <c r="E18" s="11" t="s">
        <v>60</v>
      </c>
      <c r="F18" s="7" t="s">
        <v>61</v>
      </c>
      <c r="G18" s="7" t="s">
        <v>176</v>
      </c>
      <c r="H18" s="7" t="s">
        <v>177</v>
      </c>
      <c r="I18" s="7" t="s">
        <v>63</v>
      </c>
      <c r="J18" s="7" t="s">
        <v>178</v>
      </c>
      <c r="K18" s="7" t="s">
        <v>179</v>
      </c>
      <c r="L18" s="12" t="s">
        <v>180</v>
      </c>
      <c r="M18" s="7" t="s">
        <v>181</v>
      </c>
    </row>
    <row r="19" customFormat="false" ht="34.5" hidden="false" customHeight="true" outlineLevel="0" collapsed="false">
      <c r="A19" s="10" t="n">
        <v>91</v>
      </c>
      <c r="B19" s="7" t="s">
        <v>80</v>
      </c>
      <c r="C19" s="7" t="s">
        <v>182</v>
      </c>
      <c r="D19" s="7" t="s">
        <v>183</v>
      </c>
      <c r="E19" s="11" t="s">
        <v>60</v>
      </c>
      <c r="F19" s="7" t="s">
        <v>61</v>
      </c>
      <c r="G19" s="7" t="s">
        <v>184</v>
      </c>
      <c r="H19" s="7" t="s">
        <v>63</v>
      </c>
      <c r="I19" s="7" t="s">
        <v>185</v>
      </c>
      <c r="J19" s="7" t="s">
        <v>186</v>
      </c>
      <c r="K19" s="7" t="s">
        <v>187</v>
      </c>
      <c r="L19" s="12" t="s">
        <v>188</v>
      </c>
      <c r="M19" s="7" t="s">
        <v>189</v>
      </c>
    </row>
    <row r="20" customFormat="false" ht="45.75" hidden="false" customHeight="true" outlineLevel="0" collapsed="false">
      <c r="A20" s="10" t="n">
        <v>90</v>
      </c>
      <c r="B20" s="7" t="s">
        <v>190</v>
      </c>
      <c r="C20" s="7" t="s">
        <v>191</v>
      </c>
      <c r="D20" s="7" t="s">
        <v>192</v>
      </c>
      <c r="E20" s="11" t="s">
        <v>60</v>
      </c>
      <c r="F20" s="7" t="s">
        <v>72</v>
      </c>
      <c r="G20" s="7" t="s">
        <v>193</v>
      </c>
      <c r="H20" s="7" t="s">
        <v>119</v>
      </c>
      <c r="I20" s="7" t="s">
        <v>194</v>
      </c>
      <c r="J20" s="7" t="s">
        <v>195</v>
      </c>
      <c r="K20" s="7" t="s">
        <v>196</v>
      </c>
      <c r="L20" s="12" t="s">
        <v>197</v>
      </c>
      <c r="M20" s="7" t="s">
        <v>198</v>
      </c>
    </row>
    <row r="21" customFormat="false" ht="23.25" hidden="false" customHeight="true" outlineLevel="0" collapsed="false">
      <c r="A21" s="10" t="n">
        <v>90</v>
      </c>
      <c r="B21" s="7" t="s">
        <v>199</v>
      </c>
      <c r="C21" s="7" t="s">
        <v>200</v>
      </c>
      <c r="D21" s="7" t="s">
        <v>201</v>
      </c>
      <c r="E21" s="11" t="s">
        <v>60</v>
      </c>
      <c r="F21" s="7" t="s">
        <v>109</v>
      </c>
      <c r="G21" s="7" t="s">
        <v>202</v>
      </c>
      <c r="H21" s="7" t="s">
        <v>63</v>
      </c>
      <c r="I21" s="7" t="s">
        <v>63</v>
      </c>
      <c r="J21" s="7" t="s">
        <v>203</v>
      </c>
      <c r="K21" s="7" t="s">
        <v>204</v>
      </c>
      <c r="L21" s="12" t="s">
        <v>205</v>
      </c>
      <c r="M21" s="7" t="s">
        <v>206</v>
      </c>
    </row>
    <row r="22" customFormat="false" ht="34.5" hidden="false" customHeight="true" outlineLevel="0" collapsed="false">
      <c r="A22" s="13" t="n">
        <v>90</v>
      </c>
      <c r="B22" s="7" t="s">
        <v>207</v>
      </c>
      <c r="C22" s="7" t="s">
        <v>208</v>
      </c>
      <c r="D22" s="7" t="s">
        <v>209</v>
      </c>
      <c r="E22" s="14" t="s">
        <v>210</v>
      </c>
      <c r="F22" s="7" t="s">
        <v>61</v>
      </c>
      <c r="G22" s="7" t="s">
        <v>211</v>
      </c>
      <c r="H22" s="7" t="s">
        <v>63</v>
      </c>
      <c r="I22" s="7" t="s">
        <v>63</v>
      </c>
      <c r="J22" s="7" t="s">
        <v>212</v>
      </c>
      <c r="K22" s="7" t="s">
        <v>213</v>
      </c>
      <c r="L22" s="12" t="s">
        <v>214</v>
      </c>
      <c r="M22" s="7" t="s">
        <v>215</v>
      </c>
    </row>
    <row r="23" customFormat="false" ht="23.25" hidden="false" customHeight="true" outlineLevel="0" collapsed="false">
      <c r="A23" s="10" t="n">
        <v>90</v>
      </c>
      <c r="B23" s="7" t="s">
        <v>216</v>
      </c>
      <c r="C23" s="7" t="s">
        <v>217</v>
      </c>
      <c r="D23" s="7" t="s">
        <v>218</v>
      </c>
      <c r="E23" s="11" t="s">
        <v>60</v>
      </c>
      <c r="F23" s="7" t="s">
        <v>61</v>
      </c>
      <c r="G23" s="7" t="s">
        <v>219</v>
      </c>
      <c r="H23" s="7" t="s">
        <v>220</v>
      </c>
      <c r="I23" s="7" t="s">
        <v>63</v>
      </c>
      <c r="J23" s="7" t="s">
        <v>221</v>
      </c>
      <c r="K23" s="7" t="s">
        <v>222</v>
      </c>
      <c r="L23" s="12" t="s">
        <v>223</v>
      </c>
      <c r="M23" s="7" t="s">
        <v>224</v>
      </c>
    </row>
    <row r="24" customFormat="false" ht="23.25" hidden="false" customHeight="true" outlineLevel="0" collapsed="false">
      <c r="A24" s="10" t="n">
        <v>89</v>
      </c>
      <c r="B24" s="7" t="s">
        <v>225</v>
      </c>
      <c r="C24" s="7" t="s">
        <v>226</v>
      </c>
      <c r="D24" s="7" t="s">
        <v>227</v>
      </c>
      <c r="E24" s="11" t="s">
        <v>60</v>
      </c>
      <c r="F24" s="7" t="s">
        <v>228</v>
      </c>
      <c r="G24" s="7" t="s">
        <v>228</v>
      </c>
      <c r="H24" s="7" t="s">
        <v>228</v>
      </c>
      <c r="I24" s="7" t="s">
        <v>229</v>
      </c>
      <c r="J24" s="7" t="s">
        <v>227</v>
      </c>
      <c r="K24" s="7" t="s">
        <v>227</v>
      </c>
      <c r="L24" s="12" t="s">
        <v>230</v>
      </c>
      <c r="M24" s="7" t="s">
        <v>231</v>
      </c>
    </row>
    <row r="25" customFormat="false" ht="23.25" hidden="false" customHeight="true" outlineLevel="0" collapsed="false">
      <c r="A25" s="10" t="n">
        <v>88</v>
      </c>
      <c r="B25" s="7" t="s">
        <v>232</v>
      </c>
      <c r="C25" s="7" t="s">
        <v>233</v>
      </c>
      <c r="D25" s="7" t="s">
        <v>234</v>
      </c>
      <c r="E25" s="11" t="s">
        <v>60</v>
      </c>
      <c r="F25" s="7" t="s">
        <v>72</v>
      </c>
      <c r="G25" s="7" t="s">
        <v>235</v>
      </c>
      <c r="H25" s="7" t="s">
        <v>236</v>
      </c>
      <c r="I25" s="7" t="s">
        <v>144</v>
      </c>
      <c r="J25" s="7" t="s">
        <v>237</v>
      </c>
      <c r="K25" s="7" t="s">
        <v>238</v>
      </c>
      <c r="L25" s="12" t="s">
        <v>239</v>
      </c>
      <c r="M25" s="7" t="s">
        <v>240</v>
      </c>
    </row>
    <row r="26" customFormat="false" ht="23.25" hidden="false" customHeight="true" outlineLevel="0" collapsed="false">
      <c r="A26" s="13" t="n">
        <v>88</v>
      </c>
      <c r="B26" s="7" t="s">
        <v>241</v>
      </c>
      <c r="C26" s="7" t="s">
        <v>242</v>
      </c>
      <c r="D26" s="7" t="s">
        <v>227</v>
      </c>
      <c r="E26" s="14" t="s">
        <v>210</v>
      </c>
      <c r="F26" s="7" t="s">
        <v>228</v>
      </c>
      <c r="G26" s="7" t="s">
        <v>228</v>
      </c>
      <c r="H26" s="7" t="s">
        <v>228</v>
      </c>
      <c r="I26" s="7" t="s">
        <v>229</v>
      </c>
      <c r="J26" s="7" t="s">
        <v>227</v>
      </c>
      <c r="K26" s="7" t="s">
        <v>227</v>
      </c>
      <c r="L26" s="12" t="s">
        <v>243</v>
      </c>
      <c r="M26" s="7" t="s">
        <v>231</v>
      </c>
    </row>
    <row r="27" customFormat="false" ht="23.25" hidden="false" customHeight="true" outlineLevel="0" collapsed="false">
      <c r="A27" s="13" t="n">
        <v>88</v>
      </c>
      <c r="B27" s="7" t="s">
        <v>244</v>
      </c>
      <c r="C27" s="7" t="s">
        <v>245</v>
      </c>
      <c r="D27" s="7" t="s">
        <v>227</v>
      </c>
      <c r="E27" s="14" t="s">
        <v>210</v>
      </c>
      <c r="F27" s="7" t="s">
        <v>228</v>
      </c>
      <c r="G27" s="7" t="s">
        <v>228</v>
      </c>
      <c r="H27" s="7" t="s">
        <v>228</v>
      </c>
      <c r="I27" s="7" t="s">
        <v>229</v>
      </c>
      <c r="J27" s="7" t="s">
        <v>227</v>
      </c>
      <c r="K27" s="7" t="s">
        <v>227</v>
      </c>
      <c r="L27" s="12" t="s">
        <v>246</v>
      </c>
      <c r="M27" s="7" t="s">
        <v>231</v>
      </c>
    </row>
    <row r="28" customFormat="false" ht="23.25" hidden="false" customHeight="true" outlineLevel="0" collapsed="false">
      <c r="A28" s="10" t="n">
        <v>88</v>
      </c>
      <c r="B28" s="7" t="s">
        <v>247</v>
      </c>
      <c r="C28" s="7" t="s">
        <v>248</v>
      </c>
      <c r="D28" s="7" t="s">
        <v>227</v>
      </c>
      <c r="E28" s="11" t="s">
        <v>60</v>
      </c>
      <c r="F28" s="7" t="s">
        <v>228</v>
      </c>
      <c r="G28" s="7" t="s">
        <v>228</v>
      </c>
      <c r="H28" s="7" t="s">
        <v>228</v>
      </c>
      <c r="I28" s="7" t="s">
        <v>229</v>
      </c>
      <c r="J28" s="7" t="s">
        <v>227</v>
      </c>
      <c r="K28" s="7" t="s">
        <v>227</v>
      </c>
      <c r="L28" s="12" t="s">
        <v>249</v>
      </c>
      <c r="M28" s="7" t="s">
        <v>231</v>
      </c>
    </row>
    <row r="29" customFormat="false" ht="23.25" hidden="false" customHeight="true" outlineLevel="0" collapsed="false">
      <c r="A29" s="13" t="n">
        <v>87</v>
      </c>
      <c r="B29" s="7" t="s">
        <v>250</v>
      </c>
      <c r="C29" s="7" t="s">
        <v>251</v>
      </c>
      <c r="D29" s="7" t="s">
        <v>252</v>
      </c>
      <c r="E29" s="14" t="s">
        <v>210</v>
      </c>
      <c r="F29" s="7" t="s">
        <v>61</v>
      </c>
      <c r="G29" s="7" t="s">
        <v>253</v>
      </c>
      <c r="H29" s="7" t="s">
        <v>63</v>
      </c>
      <c r="I29" s="7" t="s">
        <v>254</v>
      </c>
      <c r="J29" s="7" t="s">
        <v>255</v>
      </c>
      <c r="K29" s="7" t="s">
        <v>256</v>
      </c>
      <c r="L29" s="12" t="s">
        <v>257</v>
      </c>
      <c r="M29" s="7" t="s">
        <v>258</v>
      </c>
    </row>
    <row r="30" customFormat="false" ht="45.75" hidden="false" customHeight="true" outlineLevel="0" collapsed="false">
      <c r="A30" s="13" t="n">
        <v>87</v>
      </c>
      <c r="B30" s="7" t="s">
        <v>250</v>
      </c>
      <c r="C30" s="7" t="s">
        <v>259</v>
      </c>
      <c r="D30" s="7" t="s">
        <v>260</v>
      </c>
      <c r="E30" s="14" t="s">
        <v>210</v>
      </c>
      <c r="F30" s="7" t="s">
        <v>61</v>
      </c>
      <c r="G30" s="7" t="s">
        <v>253</v>
      </c>
      <c r="H30" s="7" t="s">
        <v>63</v>
      </c>
      <c r="I30" s="7" t="s">
        <v>261</v>
      </c>
      <c r="J30" s="7" t="s">
        <v>262</v>
      </c>
      <c r="K30" s="7" t="s">
        <v>263</v>
      </c>
      <c r="L30" s="12" t="s">
        <v>264</v>
      </c>
      <c r="M30" s="7" t="s">
        <v>265</v>
      </c>
    </row>
    <row r="31" customFormat="false" ht="23.25" hidden="false" customHeight="true" outlineLevel="0" collapsed="false">
      <c r="A31" s="13" t="n">
        <v>87</v>
      </c>
      <c r="B31" s="7" t="s">
        <v>250</v>
      </c>
      <c r="C31" s="7" t="s">
        <v>266</v>
      </c>
      <c r="D31" s="7" t="s">
        <v>267</v>
      </c>
      <c r="E31" s="14" t="s">
        <v>210</v>
      </c>
      <c r="F31" s="7" t="s">
        <v>61</v>
      </c>
      <c r="G31" s="7" t="s">
        <v>253</v>
      </c>
      <c r="H31" s="7" t="s">
        <v>63</v>
      </c>
      <c r="I31" s="7" t="s">
        <v>268</v>
      </c>
      <c r="J31" s="7" t="s">
        <v>269</v>
      </c>
      <c r="K31" s="7" t="s">
        <v>270</v>
      </c>
      <c r="L31" s="12" t="s">
        <v>271</v>
      </c>
      <c r="M31" s="7" t="s">
        <v>272</v>
      </c>
    </row>
    <row r="32" customFormat="false" ht="34.5" hidden="false" customHeight="true" outlineLevel="0" collapsed="false">
      <c r="A32" s="10" t="n">
        <v>87</v>
      </c>
      <c r="B32" s="7" t="s">
        <v>273</v>
      </c>
      <c r="C32" s="7" t="s">
        <v>274</v>
      </c>
      <c r="D32" s="7" t="s">
        <v>275</v>
      </c>
      <c r="E32" s="11" t="s">
        <v>60</v>
      </c>
      <c r="F32" s="7" t="s">
        <v>61</v>
      </c>
      <c r="G32" s="7" t="s">
        <v>63</v>
      </c>
      <c r="H32" s="7" t="s">
        <v>63</v>
      </c>
      <c r="I32" s="7" t="s">
        <v>276</v>
      </c>
      <c r="J32" s="7" t="s">
        <v>277</v>
      </c>
      <c r="K32" s="7" t="s">
        <v>278</v>
      </c>
      <c r="L32" s="12" t="s">
        <v>279</v>
      </c>
      <c r="M32" s="7" t="s">
        <v>280</v>
      </c>
    </row>
    <row r="33" customFormat="false" ht="34.5" hidden="false" customHeight="true" outlineLevel="0" collapsed="false">
      <c r="A33" s="13" t="n">
        <v>87</v>
      </c>
      <c r="B33" s="7" t="s">
        <v>281</v>
      </c>
      <c r="C33" s="7" t="s">
        <v>282</v>
      </c>
      <c r="D33" s="7" t="s">
        <v>283</v>
      </c>
      <c r="E33" s="14" t="s">
        <v>210</v>
      </c>
      <c r="F33" s="7" t="s">
        <v>61</v>
      </c>
      <c r="G33" s="7" t="s">
        <v>284</v>
      </c>
      <c r="H33" s="7" t="s">
        <v>63</v>
      </c>
      <c r="I33" s="7" t="s">
        <v>285</v>
      </c>
      <c r="J33" s="7" t="s">
        <v>286</v>
      </c>
      <c r="K33" s="7" t="s">
        <v>287</v>
      </c>
      <c r="L33" s="12" t="s">
        <v>288</v>
      </c>
      <c r="M33" s="7" t="s">
        <v>289</v>
      </c>
    </row>
    <row r="34" customFormat="false" ht="57" hidden="false" customHeight="true" outlineLevel="0" collapsed="false">
      <c r="A34" s="13" t="n">
        <v>87</v>
      </c>
      <c r="B34" s="7" t="s">
        <v>290</v>
      </c>
      <c r="C34" s="7" t="s">
        <v>291</v>
      </c>
      <c r="D34" s="7" t="s">
        <v>292</v>
      </c>
      <c r="E34" s="14" t="s">
        <v>210</v>
      </c>
      <c r="F34" s="7" t="s">
        <v>61</v>
      </c>
      <c r="G34" s="7" t="s">
        <v>293</v>
      </c>
      <c r="H34" s="7" t="s">
        <v>294</v>
      </c>
      <c r="I34" s="7" t="s">
        <v>295</v>
      </c>
      <c r="J34" s="7" t="s">
        <v>296</v>
      </c>
      <c r="K34" s="7" t="s">
        <v>297</v>
      </c>
      <c r="L34" s="12" t="s">
        <v>298</v>
      </c>
      <c r="M34" s="7" t="s">
        <v>299</v>
      </c>
    </row>
    <row r="35" customFormat="false" ht="23.25" hidden="false" customHeight="true" outlineLevel="0" collapsed="false">
      <c r="A35" s="13" t="n">
        <v>87</v>
      </c>
      <c r="B35" s="7" t="s">
        <v>300</v>
      </c>
      <c r="C35" s="7" t="s">
        <v>301</v>
      </c>
      <c r="D35" s="7" t="s">
        <v>302</v>
      </c>
      <c r="E35" s="14" t="s">
        <v>210</v>
      </c>
      <c r="F35" s="7" t="s">
        <v>61</v>
      </c>
      <c r="G35" s="7" t="s">
        <v>303</v>
      </c>
      <c r="H35" s="7" t="s">
        <v>304</v>
      </c>
      <c r="I35" s="7" t="s">
        <v>305</v>
      </c>
      <c r="J35" s="7" t="s">
        <v>306</v>
      </c>
      <c r="K35" s="7" t="s">
        <v>307</v>
      </c>
      <c r="L35" s="12" t="s">
        <v>308</v>
      </c>
      <c r="M35" s="7" t="s">
        <v>309</v>
      </c>
    </row>
    <row r="36" customFormat="false" ht="23.25" hidden="false" customHeight="true" outlineLevel="0" collapsed="false">
      <c r="A36" s="10" t="n">
        <v>87</v>
      </c>
      <c r="B36" s="7" t="s">
        <v>310</v>
      </c>
      <c r="C36" s="7" t="s">
        <v>311</v>
      </c>
      <c r="D36" s="7" t="s">
        <v>312</v>
      </c>
      <c r="E36" s="11" t="s">
        <v>60</v>
      </c>
      <c r="F36" s="7" t="s">
        <v>109</v>
      </c>
      <c r="G36" s="7" t="s">
        <v>63</v>
      </c>
      <c r="H36" s="7" t="s">
        <v>313</v>
      </c>
      <c r="I36" s="7" t="s">
        <v>314</v>
      </c>
      <c r="J36" s="7" t="s">
        <v>315</v>
      </c>
      <c r="K36" s="7" t="s">
        <v>316</v>
      </c>
      <c r="L36" s="12" t="s">
        <v>317</v>
      </c>
      <c r="M36" s="7" t="s">
        <v>318</v>
      </c>
    </row>
    <row r="37" customFormat="false" ht="45.75" hidden="false" customHeight="true" outlineLevel="0" collapsed="false">
      <c r="A37" s="13" t="n">
        <v>87</v>
      </c>
      <c r="B37" s="7" t="s">
        <v>319</v>
      </c>
      <c r="C37" s="7" t="s">
        <v>320</v>
      </c>
      <c r="D37" s="7" t="s">
        <v>321</v>
      </c>
      <c r="E37" s="14" t="s">
        <v>210</v>
      </c>
      <c r="F37" s="7" t="s">
        <v>61</v>
      </c>
      <c r="G37" s="7" t="s">
        <v>322</v>
      </c>
      <c r="H37" s="7" t="s">
        <v>323</v>
      </c>
      <c r="I37" s="7" t="s">
        <v>63</v>
      </c>
      <c r="J37" s="7" t="s">
        <v>324</v>
      </c>
      <c r="K37" s="7" t="s">
        <v>325</v>
      </c>
      <c r="L37" s="12" t="s">
        <v>326</v>
      </c>
      <c r="M37" s="7" t="s">
        <v>327</v>
      </c>
    </row>
    <row r="38" customFormat="false" ht="23.25" hidden="false" customHeight="true" outlineLevel="0" collapsed="false">
      <c r="A38" s="10" t="n">
        <v>87</v>
      </c>
      <c r="B38" s="7" t="s">
        <v>328</v>
      </c>
      <c r="C38" s="7" t="s">
        <v>329</v>
      </c>
      <c r="D38" s="7" t="s">
        <v>227</v>
      </c>
      <c r="E38" s="11" t="s">
        <v>60</v>
      </c>
      <c r="F38" s="7" t="s">
        <v>228</v>
      </c>
      <c r="G38" s="7" t="s">
        <v>228</v>
      </c>
      <c r="H38" s="7" t="s">
        <v>228</v>
      </c>
      <c r="I38" s="7" t="s">
        <v>229</v>
      </c>
      <c r="J38" s="7" t="s">
        <v>227</v>
      </c>
      <c r="K38" s="7" t="s">
        <v>227</v>
      </c>
      <c r="L38" s="12" t="s">
        <v>330</v>
      </c>
      <c r="M38" s="7" t="s">
        <v>231</v>
      </c>
    </row>
    <row r="39" customFormat="false" ht="23.25" hidden="false" customHeight="true" outlineLevel="0" collapsed="false">
      <c r="A39" s="15" t="n">
        <v>87</v>
      </c>
      <c r="B39" s="7" t="s">
        <v>331</v>
      </c>
      <c r="C39" s="7" t="s">
        <v>332</v>
      </c>
      <c r="D39" s="7" t="s">
        <v>227</v>
      </c>
      <c r="E39" s="16" t="s">
        <v>333</v>
      </c>
      <c r="F39" s="7" t="s">
        <v>228</v>
      </c>
      <c r="G39" s="7" t="s">
        <v>228</v>
      </c>
      <c r="H39" s="7" t="s">
        <v>228</v>
      </c>
      <c r="I39" s="7" t="s">
        <v>229</v>
      </c>
      <c r="J39" s="7" t="s">
        <v>227</v>
      </c>
      <c r="K39" s="7" t="s">
        <v>227</v>
      </c>
      <c r="L39" s="12" t="s">
        <v>334</v>
      </c>
      <c r="M39" s="7" t="s">
        <v>231</v>
      </c>
    </row>
    <row r="40" customFormat="false" ht="23.25" hidden="false" customHeight="true" outlineLevel="0" collapsed="false">
      <c r="A40" s="10" t="n">
        <v>86</v>
      </c>
      <c r="B40" s="7" t="s">
        <v>335</v>
      </c>
      <c r="C40" s="7" t="s">
        <v>336</v>
      </c>
      <c r="D40" s="7" t="s">
        <v>168</v>
      </c>
      <c r="E40" s="11" t="s">
        <v>60</v>
      </c>
      <c r="F40" s="7" t="s">
        <v>61</v>
      </c>
      <c r="G40" s="7" t="s">
        <v>63</v>
      </c>
      <c r="H40" s="7" t="s">
        <v>63</v>
      </c>
      <c r="I40" s="7" t="s">
        <v>63</v>
      </c>
      <c r="J40" s="7" t="s">
        <v>337</v>
      </c>
      <c r="K40" s="7" t="s">
        <v>338</v>
      </c>
      <c r="L40" s="12" t="s">
        <v>339</v>
      </c>
      <c r="M40" s="7" t="s">
        <v>340</v>
      </c>
    </row>
    <row r="41" customFormat="false" ht="23.25" hidden="false" customHeight="true" outlineLevel="0" collapsed="false">
      <c r="A41" s="10" t="n">
        <v>86</v>
      </c>
      <c r="B41" s="7" t="s">
        <v>341</v>
      </c>
      <c r="C41" s="7" t="s">
        <v>342</v>
      </c>
      <c r="D41" s="7" t="s">
        <v>227</v>
      </c>
      <c r="E41" s="11" t="s">
        <v>60</v>
      </c>
      <c r="F41" s="7" t="s">
        <v>228</v>
      </c>
      <c r="G41" s="7" t="s">
        <v>228</v>
      </c>
      <c r="H41" s="7" t="s">
        <v>228</v>
      </c>
      <c r="I41" s="7" t="s">
        <v>229</v>
      </c>
      <c r="J41" s="7" t="s">
        <v>227</v>
      </c>
      <c r="K41" s="7" t="s">
        <v>227</v>
      </c>
      <c r="L41" s="12" t="s">
        <v>343</v>
      </c>
      <c r="M41" s="7" t="s">
        <v>231</v>
      </c>
    </row>
    <row r="42" customFormat="false" ht="23.25" hidden="false" customHeight="true" outlineLevel="0" collapsed="false">
      <c r="A42" s="15" t="n">
        <v>86</v>
      </c>
      <c r="B42" s="7" t="s">
        <v>344</v>
      </c>
      <c r="C42" s="7" t="s">
        <v>345</v>
      </c>
      <c r="D42" s="7" t="s">
        <v>227</v>
      </c>
      <c r="E42" s="16" t="s">
        <v>333</v>
      </c>
      <c r="F42" s="7" t="s">
        <v>228</v>
      </c>
      <c r="G42" s="7" t="s">
        <v>228</v>
      </c>
      <c r="H42" s="7" t="s">
        <v>228</v>
      </c>
      <c r="I42" s="7" t="s">
        <v>229</v>
      </c>
      <c r="J42" s="7" t="s">
        <v>227</v>
      </c>
      <c r="K42" s="7" t="s">
        <v>227</v>
      </c>
      <c r="L42" s="12" t="s">
        <v>346</v>
      </c>
      <c r="M42" s="7" t="s">
        <v>231</v>
      </c>
    </row>
    <row r="43" customFormat="false" ht="34.5" hidden="false" customHeight="true" outlineLevel="0" collapsed="false">
      <c r="A43" s="10" t="n">
        <v>86</v>
      </c>
      <c r="B43" s="7" t="s">
        <v>347</v>
      </c>
      <c r="C43" s="7" t="s">
        <v>348</v>
      </c>
      <c r="D43" s="7" t="s">
        <v>349</v>
      </c>
      <c r="E43" s="11" t="s">
        <v>60</v>
      </c>
      <c r="F43" s="7" t="s">
        <v>61</v>
      </c>
      <c r="G43" s="7" t="s">
        <v>350</v>
      </c>
      <c r="H43" s="7" t="s">
        <v>351</v>
      </c>
      <c r="I43" s="7" t="s">
        <v>352</v>
      </c>
      <c r="J43" s="7" t="s">
        <v>353</v>
      </c>
      <c r="K43" s="7" t="s">
        <v>354</v>
      </c>
      <c r="L43" s="12" t="s">
        <v>355</v>
      </c>
      <c r="M43" s="7" t="s">
        <v>356</v>
      </c>
    </row>
    <row r="44" customFormat="false" ht="45.75" hidden="false" customHeight="true" outlineLevel="0" collapsed="false">
      <c r="A44" s="13" t="n">
        <v>85</v>
      </c>
      <c r="B44" s="7" t="s">
        <v>357</v>
      </c>
      <c r="C44" s="7" t="s">
        <v>358</v>
      </c>
      <c r="D44" s="7" t="s">
        <v>359</v>
      </c>
      <c r="E44" s="14" t="s">
        <v>210</v>
      </c>
      <c r="F44" s="7" t="s">
        <v>61</v>
      </c>
      <c r="G44" s="7" t="s">
        <v>176</v>
      </c>
      <c r="H44" s="7" t="s">
        <v>360</v>
      </c>
      <c r="I44" s="7" t="s">
        <v>84</v>
      </c>
      <c r="J44" s="7" t="s">
        <v>361</v>
      </c>
      <c r="K44" s="7" t="s">
        <v>362</v>
      </c>
      <c r="L44" s="12" t="s">
        <v>363</v>
      </c>
      <c r="M44" s="7" t="s">
        <v>364</v>
      </c>
    </row>
    <row r="45" customFormat="false" ht="34.5" hidden="false" customHeight="true" outlineLevel="0" collapsed="false">
      <c r="A45" s="13" t="n">
        <v>85</v>
      </c>
      <c r="B45" s="7" t="s">
        <v>365</v>
      </c>
      <c r="C45" s="7" t="s">
        <v>366</v>
      </c>
      <c r="D45" s="7" t="s">
        <v>252</v>
      </c>
      <c r="E45" s="14" t="s">
        <v>210</v>
      </c>
      <c r="F45" s="7" t="s">
        <v>61</v>
      </c>
      <c r="G45" s="7" t="s">
        <v>367</v>
      </c>
      <c r="H45" s="7" t="s">
        <v>63</v>
      </c>
      <c r="I45" s="7" t="s">
        <v>368</v>
      </c>
      <c r="J45" s="7" t="s">
        <v>369</v>
      </c>
      <c r="K45" s="7" t="s">
        <v>370</v>
      </c>
      <c r="L45" s="12" t="s">
        <v>371</v>
      </c>
      <c r="M45" s="7" t="s">
        <v>372</v>
      </c>
    </row>
    <row r="46" customFormat="false" ht="34.5" hidden="false" customHeight="true" outlineLevel="0" collapsed="false">
      <c r="A46" s="13" t="n">
        <v>85</v>
      </c>
      <c r="B46" s="7" t="s">
        <v>365</v>
      </c>
      <c r="C46" s="7" t="s">
        <v>373</v>
      </c>
      <c r="D46" s="7" t="s">
        <v>260</v>
      </c>
      <c r="E46" s="14" t="s">
        <v>210</v>
      </c>
      <c r="F46" s="7" t="s">
        <v>61</v>
      </c>
      <c r="G46" s="7" t="s">
        <v>367</v>
      </c>
      <c r="H46" s="7" t="s">
        <v>63</v>
      </c>
      <c r="I46" s="7" t="s">
        <v>268</v>
      </c>
      <c r="J46" s="7" t="s">
        <v>374</v>
      </c>
      <c r="K46" s="7" t="s">
        <v>375</v>
      </c>
      <c r="L46" s="12" t="s">
        <v>376</v>
      </c>
      <c r="M46" s="7" t="s">
        <v>377</v>
      </c>
    </row>
    <row r="47" customFormat="false" ht="34.5" hidden="false" customHeight="true" outlineLevel="0" collapsed="false">
      <c r="A47" s="13" t="n">
        <v>85</v>
      </c>
      <c r="B47" s="7" t="s">
        <v>378</v>
      </c>
      <c r="C47" s="7" t="s">
        <v>379</v>
      </c>
      <c r="D47" s="7" t="s">
        <v>380</v>
      </c>
      <c r="E47" s="14" t="s">
        <v>210</v>
      </c>
      <c r="F47" s="7" t="s">
        <v>72</v>
      </c>
      <c r="G47" s="7" t="s">
        <v>73</v>
      </c>
      <c r="H47" s="7" t="s">
        <v>381</v>
      </c>
      <c r="I47" s="7" t="s">
        <v>382</v>
      </c>
      <c r="J47" s="7" t="s">
        <v>383</v>
      </c>
      <c r="K47" s="7" t="s">
        <v>384</v>
      </c>
      <c r="L47" s="12" t="s">
        <v>385</v>
      </c>
      <c r="M47" s="7" t="s">
        <v>386</v>
      </c>
    </row>
    <row r="48" customFormat="false" ht="45.75" hidden="false" customHeight="true" outlineLevel="0" collapsed="false">
      <c r="A48" s="13" t="n">
        <v>85</v>
      </c>
      <c r="B48" s="7" t="s">
        <v>387</v>
      </c>
      <c r="C48" s="7" t="s">
        <v>388</v>
      </c>
      <c r="D48" s="7" t="s">
        <v>389</v>
      </c>
      <c r="E48" s="14" t="s">
        <v>210</v>
      </c>
      <c r="F48" s="7" t="s">
        <v>109</v>
      </c>
      <c r="G48" s="7" t="s">
        <v>73</v>
      </c>
      <c r="H48" s="7" t="s">
        <v>390</v>
      </c>
      <c r="I48" s="7" t="s">
        <v>391</v>
      </c>
      <c r="J48" s="7" t="s">
        <v>392</v>
      </c>
      <c r="K48" s="7" t="s">
        <v>393</v>
      </c>
      <c r="L48" s="12" t="s">
        <v>394</v>
      </c>
      <c r="M48" s="7" t="s">
        <v>395</v>
      </c>
    </row>
    <row r="49" customFormat="false" ht="34.5" hidden="false" customHeight="true" outlineLevel="0" collapsed="false">
      <c r="A49" s="10" t="n">
        <v>85</v>
      </c>
      <c r="B49" s="7" t="s">
        <v>335</v>
      </c>
      <c r="C49" s="7" t="s">
        <v>396</v>
      </c>
      <c r="D49" s="7" t="s">
        <v>397</v>
      </c>
      <c r="E49" s="11" t="s">
        <v>60</v>
      </c>
      <c r="F49" s="7" t="s">
        <v>61</v>
      </c>
      <c r="G49" s="7" t="s">
        <v>63</v>
      </c>
      <c r="H49" s="7" t="s">
        <v>63</v>
      </c>
      <c r="I49" s="7" t="s">
        <v>64</v>
      </c>
      <c r="J49" s="7" t="s">
        <v>398</v>
      </c>
      <c r="K49" s="7" t="s">
        <v>399</v>
      </c>
      <c r="L49" s="12" t="s">
        <v>400</v>
      </c>
      <c r="M49" s="7" t="s">
        <v>401</v>
      </c>
    </row>
    <row r="50" customFormat="false" ht="34.5" hidden="false" customHeight="true" outlineLevel="0" collapsed="false">
      <c r="A50" s="13" t="n">
        <v>85</v>
      </c>
      <c r="B50" s="7" t="s">
        <v>402</v>
      </c>
      <c r="C50" s="7" t="s">
        <v>403</v>
      </c>
      <c r="D50" s="7" t="s">
        <v>404</v>
      </c>
      <c r="E50" s="14" t="s">
        <v>210</v>
      </c>
      <c r="F50" s="7" t="s">
        <v>61</v>
      </c>
      <c r="G50" s="7" t="s">
        <v>322</v>
      </c>
      <c r="H50" s="7" t="s">
        <v>323</v>
      </c>
      <c r="I50" s="7" t="s">
        <v>63</v>
      </c>
      <c r="J50" s="7" t="s">
        <v>405</v>
      </c>
      <c r="K50" s="7" t="s">
        <v>406</v>
      </c>
      <c r="L50" s="12" t="s">
        <v>407</v>
      </c>
      <c r="M50" s="7" t="s">
        <v>408</v>
      </c>
    </row>
    <row r="51" customFormat="false" ht="23.25" hidden="false" customHeight="true" outlineLevel="0" collapsed="false">
      <c r="A51" s="13" t="n">
        <v>85</v>
      </c>
      <c r="B51" s="7" t="s">
        <v>409</v>
      </c>
      <c r="C51" s="7" t="s">
        <v>410</v>
      </c>
      <c r="D51" s="7" t="s">
        <v>411</v>
      </c>
      <c r="E51" s="14" t="s">
        <v>210</v>
      </c>
      <c r="F51" s="7" t="s">
        <v>61</v>
      </c>
      <c r="G51" s="7" t="s">
        <v>412</v>
      </c>
      <c r="H51" s="7" t="s">
        <v>63</v>
      </c>
      <c r="I51" s="7" t="s">
        <v>63</v>
      </c>
      <c r="J51" s="7" t="s">
        <v>413</v>
      </c>
      <c r="K51" s="7" t="s">
        <v>414</v>
      </c>
      <c r="L51" s="12" t="s">
        <v>415</v>
      </c>
      <c r="M51" s="7" t="s">
        <v>416</v>
      </c>
    </row>
    <row r="52" customFormat="false" ht="23.25" hidden="false" customHeight="true" outlineLevel="0" collapsed="false">
      <c r="A52" s="10" t="n">
        <v>84</v>
      </c>
      <c r="B52" s="7" t="s">
        <v>417</v>
      </c>
      <c r="C52" s="7" t="s">
        <v>418</v>
      </c>
      <c r="D52" s="7" t="s">
        <v>419</v>
      </c>
      <c r="E52" s="11" t="s">
        <v>60</v>
      </c>
      <c r="F52" s="7" t="s">
        <v>61</v>
      </c>
      <c r="G52" s="7" t="s">
        <v>420</v>
      </c>
      <c r="H52" s="7" t="s">
        <v>421</v>
      </c>
      <c r="I52" s="7" t="s">
        <v>422</v>
      </c>
      <c r="J52" s="7" t="s">
        <v>423</v>
      </c>
      <c r="K52" s="7" t="s">
        <v>424</v>
      </c>
      <c r="L52" s="12" t="s">
        <v>425</v>
      </c>
      <c r="M52" s="7" t="s">
        <v>426</v>
      </c>
    </row>
    <row r="53" customFormat="false" ht="23.25" hidden="false" customHeight="true" outlineLevel="0" collapsed="false">
      <c r="A53" s="10" t="n">
        <v>84</v>
      </c>
      <c r="B53" s="7" t="s">
        <v>427</v>
      </c>
      <c r="C53" s="7" t="s">
        <v>428</v>
      </c>
      <c r="D53" s="7" t="s">
        <v>429</v>
      </c>
      <c r="E53" s="11" t="s">
        <v>60</v>
      </c>
      <c r="F53" s="7" t="s">
        <v>109</v>
      </c>
      <c r="G53" s="7" t="s">
        <v>73</v>
      </c>
      <c r="H53" s="7" t="s">
        <v>63</v>
      </c>
      <c r="I53" s="7" t="s">
        <v>430</v>
      </c>
      <c r="J53" s="7" t="s">
        <v>431</v>
      </c>
      <c r="K53" s="7" t="s">
        <v>432</v>
      </c>
      <c r="L53" s="12" t="s">
        <v>433</v>
      </c>
      <c r="M53" s="7" t="s">
        <v>434</v>
      </c>
    </row>
    <row r="54" customFormat="false" ht="34.5" hidden="false" customHeight="true" outlineLevel="0" collapsed="false">
      <c r="A54" s="10" t="n">
        <v>84</v>
      </c>
      <c r="B54" s="7" t="s">
        <v>435</v>
      </c>
      <c r="C54" s="7" t="s">
        <v>436</v>
      </c>
      <c r="D54" s="7" t="s">
        <v>437</v>
      </c>
      <c r="E54" s="11" t="s">
        <v>60</v>
      </c>
      <c r="F54" s="7" t="s">
        <v>61</v>
      </c>
      <c r="G54" s="7" t="s">
        <v>438</v>
      </c>
      <c r="H54" s="7" t="s">
        <v>63</v>
      </c>
      <c r="I54" s="7" t="s">
        <v>439</v>
      </c>
      <c r="J54" s="7" t="s">
        <v>440</v>
      </c>
      <c r="K54" s="7" t="s">
        <v>441</v>
      </c>
      <c r="L54" s="12" t="s">
        <v>442</v>
      </c>
      <c r="M54" s="7" t="s">
        <v>443</v>
      </c>
    </row>
    <row r="55" customFormat="false" ht="34.5" hidden="false" customHeight="true" outlineLevel="0" collapsed="false">
      <c r="A55" s="13" t="n">
        <v>84</v>
      </c>
      <c r="B55" s="7" t="s">
        <v>444</v>
      </c>
      <c r="C55" s="7" t="s">
        <v>445</v>
      </c>
      <c r="D55" s="7" t="s">
        <v>446</v>
      </c>
      <c r="E55" s="14" t="s">
        <v>210</v>
      </c>
      <c r="F55" s="7" t="s">
        <v>61</v>
      </c>
      <c r="G55" s="7" t="s">
        <v>447</v>
      </c>
      <c r="H55" s="7" t="s">
        <v>63</v>
      </c>
      <c r="I55" s="7" t="s">
        <v>63</v>
      </c>
      <c r="J55" s="7" t="s">
        <v>448</v>
      </c>
      <c r="K55" s="7" t="s">
        <v>449</v>
      </c>
      <c r="L55" s="12" t="s">
        <v>450</v>
      </c>
      <c r="M55" s="7" t="s">
        <v>451</v>
      </c>
    </row>
    <row r="56" customFormat="false" ht="45.75" hidden="false" customHeight="true" outlineLevel="0" collapsed="false">
      <c r="A56" s="13" t="n">
        <v>84</v>
      </c>
      <c r="B56" s="7" t="s">
        <v>452</v>
      </c>
      <c r="C56" s="7" t="s">
        <v>453</v>
      </c>
      <c r="D56" s="7" t="s">
        <v>227</v>
      </c>
      <c r="E56" s="14" t="s">
        <v>210</v>
      </c>
      <c r="F56" s="7" t="s">
        <v>228</v>
      </c>
      <c r="G56" s="7" t="s">
        <v>228</v>
      </c>
      <c r="H56" s="7" t="s">
        <v>228</v>
      </c>
      <c r="I56" s="7" t="s">
        <v>229</v>
      </c>
      <c r="J56" s="7" t="s">
        <v>227</v>
      </c>
      <c r="K56" s="7" t="s">
        <v>227</v>
      </c>
      <c r="L56" s="12" t="s">
        <v>454</v>
      </c>
      <c r="M56" s="7" t="s">
        <v>231</v>
      </c>
    </row>
    <row r="57" customFormat="false" ht="23.25" hidden="false" customHeight="true" outlineLevel="0" collapsed="false">
      <c r="A57" s="10" t="n">
        <v>84</v>
      </c>
      <c r="B57" s="7" t="s">
        <v>427</v>
      </c>
      <c r="C57" s="7" t="s">
        <v>455</v>
      </c>
      <c r="D57" s="7" t="s">
        <v>456</v>
      </c>
      <c r="E57" s="11" t="s">
        <v>60</v>
      </c>
      <c r="F57" s="7" t="s">
        <v>61</v>
      </c>
      <c r="G57" s="7" t="s">
        <v>350</v>
      </c>
      <c r="H57" s="7" t="s">
        <v>351</v>
      </c>
      <c r="I57" s="7" t="s">
        <v>352</v>
      </c>
      <c r="J57" s="7" t="s">
        <v>457</v>
      </c>
      <c r="K57" s="7" t="s">
        <v>354</v>
      </c>
      <c r="L57" s="12" t="s">
        <v>458</v>
      </c>
      <c r="M57" s="7" t="s">
        <v>356</v>
      </c>
    </row>
    <row r="58" customFormat="false" ht="45.75" hidden="false" customHeight="true" outlineLevel="0" collapsed="false">
      <c r="A58" s="10" t="n">
        <v>84</v>
      </c>
      <c r="B58" s="7" t="s">
        <v>459</v>
      </c>
      <c r="C58" s="7" t="s">
        <v>460</v>
      </c>
      <c r="D58" s="7" t="s">
        <v>456</v>
      </c>
      <c r="E58" s="11" t="s">
        <v>60</v>
      </c>
      <c r="F58" s="7" t="s">
        <v>61</v>
      </c>
      <c r="G58" s="7" t="s">
        <v>350</v>
      </c>
      <c r="H58" s="7" t="s">
        <v>351</v>
      </c>
      <c r="I58" s="7" t="s">
        <v>352</v>
      </c>
      <c r="J58" s="7" t="s">
        <v>461</v>
      </c>
      <c r="K58" s="7" t="s">
        <v>354</v>
      </c>
      <c r="L58" s="12" t="s">
        <v>462</v>
      </c>
      <c r="M58" s="7" t="s">
        <v>356</v>
      </c>
    </row>
    <row r="59" customFormat="false" ht="23.25" hidden="false" customHeight="true" outlineLevel="0" collapsed="false">
      <c r="A59" s="13" t="n">
        <v>83</v>
      </c>
      <c r="B59" s="7" t="s">
        <v>365</v>
      </c>
      <c r="C59" s="7" t="s">
        <v>463</v>
      </c>
      <c r="D59" s="7" t="s">
        <v>464</v>
      </c>
      <c r="E59" s="14" t="s">
        <v>210</v>
      </c>
      <c r="F59" s="7" t="s">
        <v>61</v>
      </c>
      <c r="G59" s="7" t="s">
        <v>367</v>
      </c>
      <c r="H59" s="7" t="s">
        <v>63</v>
      </c>
      <c r="I59" s="7" t="s">
        <v>368</v>
      </c>
      <c r="J59" s="7" t="s">
        <v>465</v>
      </c>
      <c r="K59" s="7" t="s">
        <v>466</v>
      </c>
      <c r="L59" s="12" t="s">
        <v>467</v>
      </c>
      <c r="M59" s="7" t="s">
        <v>468</v>
      </c>
    </row>
    <row r="60" customFormat="false" ht="23.25" hidden="false" customHeight="true" outlineLevel="0" collapsed="false">
      <c r="A60" s="13" t="n">
        <v>83</v>
      </c>
      <c r="B60" s="7" t="s">
        <v>469</v>
      </c>
      <c r="C60" s="7" t="s">
        <v>470</v>
      </c>
      <c r="D60" s="7" t="s">
        <v>471</v>
      </c>
      <c r="E60" s="14" t="s">
        <v>210</v>
      </c>
      <c r="F60" s="7" t="s">
        <v>61</v>
      </c>
      <c r="G60" s="7" t="s">
        <v>63</v>
      </c>
      <c r="H60" s="7" t="s">
        <v>63</v>
      </c>
      <c r="I60" s="7" t="s">
        <v>472</v>
      </c>
      <c r="J60" s="7" t="s">
        <v>473</v>
      </c>
      <c r="K60" s="7" t="s">
        <v>474</v>
      </c>
      <c r="L60" s="12" t="s">
        <v>475</v>
      </c>
      <c r="M60" s="7" t="s">
        <v>476</v>
      </c>
    </row>
    <row r="61" customFormat="false" ht="23.25" hidden="false" customHeight="true" outlineLevel="0" collapsed="false">
      <c r="A61" s="10" t="n">
        <v>83</v>
      </c>
      <c r="B61" s="7" t="s">
        <v>477</v>
      </c>
      <c r="C61" s="7" t="s">
        <v>478</v>
      </c>
      <c r="D61" s="7" t="s">
        <v>479</v>
      </c>
      <c r="E61" s="11" t="s">
        <v>60</v>
      </c>
      <c r="F61" s="7" t="s">
        <v>61</v>
      </c>
      <c r="G61" s="7" t="s">
        <v>480</v>
      </c>
      <c r="H61" s="7" t="s">
        <v>63</v>
      </c>
      <c r="I61" s="7" t="s">
        <v>481</v>
      </c>
      <c r="J61" s="7" t="s">
        <v>482</v>
      </c>
      <c r="K61" s="7" t="s">
        <v>483</v>
      </c>
      <c r="L61" s="12" t="s">
        <v>484</v>
      </c>
      <c r="M61" s="7" t="s">
        <v>485</v>
      </c>
    </row>
    <row r="62" customFormat="false" ht="34.5" hidden="false" customHeight="true" outlineLevel="0" collapsed="false">
      <c r="A62" s="13" t="n">
        <v>83</v>
      </c>
      <c r="B62" s="7" t="s">
        <v>486</v>
      </c>
      <c r="C62" s="7" t="s">
        <v>487</v>
      </c>
      <c r="D62" s="7" t="s">
        <v>488</v>
      </c>
      <c r="E62" s="14" t="s">
        <v>210</v>
      </c>
      <c r="F62" s="7" t="s">
        <v>109</v>
      </c>
      <c r="G62" s="7" t="s">
        <v>489</v>
      </c>
      <c r="H62" s="7" t="s">
        <v>63</v>
      </c>
      <c r="I62" s="7" t="s">
        <v>285</v>
      </c>
      <c r="J62" s="7" t="s">
        <v>490</v>
      </c>
      <c r="K62" s="7" t="s">
        <v>491</v>
      </c>
      <c r="L62" s="12" t="s">
        <v>492</v>
      </c>
      <c r="M62" s="7" t="s">
        <v>493</v>
      </c>
    </row>
    <row r="63" customFormat="false" ht="34.5" hidden="false" customHeight="true" outlineLevel="0" collapsed="false">
      <c r="A63" s="10" t="n">
        <v>83</v>
      </c>
      <c r="B63" s="7" t="s">
        <v>494</v>
      </c>
      <c r="C63" s="7" t="s">
        <v>495</v>
      </c>
      <c r="D63" s="7" t="s">
        <v>496</v>
      </c>
      <c r="E63" s="11" t="s">
        <v>60</v>
      </c>
      <c r="F63" s="7" t="s">
        <v>61</v>
      </c>
      <c r="G63" s="7" t="s">
        <v>497</v>
      </c>
      <c r="H63" s="7" t="s">
        <v>63</v>
      </c>
      <c r="I63" s="7" t="s">
        <v>498</v>
      </c>
      <c r="J63" s="7" t="s">
        <v>499</v>
      </c>
      <c r="K63" s="7" t="s">
        <v>500</v>
      </c>
      <c r="L63" s="12" t="s">
        <v>501</v>
      </c>
      <c r="M63" s="7" t="s">
        <v>502</v>
      </c>
    </row>
    <row r="64" customFormat="false" ht="34.5" hidden="false" customHeight="true" outlineLevel="0" collapsed="false">
      <c r="A64" s="13" t="n">
        <v>83</v>
      </c>
      <c r="B64" s="7" t="s">
        <v>503</v>
      </c>
      <c r="C64" s="7" t="s">
        <v>504</v>
      </c>
      <c r="D64" s="7" t="s">
        <v>505</v>
      </c>
      <c r="E64" s="14" t="s">
        <v>210</v>
      </c>
      <c r="F64" s="7" t="s">
        <v>61</v>
      </c>
      <c r="G64" s="7" t="s">
        <v>506</v>
      </c>
      <c r="H64" s="7" t="s">
        <v>507</v>
      </c>
      <c r="I64" s="7" t="s">
        <v>508</v>
      </c>
      <c r="J64" s="7" t="s">
        <v>509</v>
      </c>
      <c r="K64" s="7" t="s">
        <v>510</v>
      </c>
      <c r="L64" s="12" t="s">
        <v>511</v>
      </c>
      <c r="M64" s="7" t="s">
        <v>512</v>
      </c>
    </row>
    <row r="65" customFormat="false" ht="34.5" hidden="false" customHeight="true" outlineLevel="0" collapsed="false">
      <c r="A65" s="10" t="n">
        <v>83</v>
      </c>
      <c r="B65" s="7" t="s">
        <v>513</v>
      </c>
      <c r="C65" s="7" t="s">
        <v>514</v>
      </c>
      <c r="D65" s="7" t="s">
        <v>168</v>
      </c>
      <c r="E65" s="11" t="s">
        <v>60</v>
      </c>
      <c r="F65" s="7" t="s">
        <v>61</v>
      </c>
      <c r="G65" s="7" t="s">
        <v>515</v>
      </c>
      <c r="H65" s="7" t="s">
        <v>516</v>
      </c>
      <c r="I65" s="7" t="s">
        <v>63</v>
      </c>
      <c r="J65" s="7" t="s">
        <v>517</v>
      </c>
      <c r="K65" s="7" t="s">
        <v>518</v>
      </c>
      <c r="L65" s="12" t="s">
        <v>519</v>
      </c>
      <c r="M65" s="7" t="s">
        <v>520</v>
      </c>
    </row>
    <row r="66" customFormat="false" ht="23.25" hidden="false" customHeight="true" outlineLevel="0" collapsed="false">
      <c r="A66" s="10" t="n">
        <v>83</v>
      </c>
      <c r="B66" s="7" t="s">
        <v>521</v>
      </c>
      <c r="C66" s="7" t="s">
        <v>522</v>
      </c>
      <c r="D66" s="7" t="s">
        <v>227</v>
      </c>
      <c r="E66" s="11" t="s">
        <v>60</v>
      </c>
      <c r="F66" s="7" t="s">
        <v>228</v>
      </c>
      <c r="G66" s="7" t="s">
        <v>228</v>
      </c>
      <c r="H66" s="7" t="s">
        <v>228</v>
      </c>
      <c r="I66" s="7" t="s">
        <v>229</v>
      </c>
      <c r="J66" s="7" t="s">
        <v>227</v>
      </c>
      <c r="K66" s="7" t="s">
        <v>227</v>
      </c>
      <c r="L66" s="12" t="s">
        <v>523</v>
      </c>
      <c r="M66" s="7" t="s">
        <v>231</v>
      </c>
    </row>
    <row r="67" customFormat="false" ht="23.25" hidden="false" customHeight="true" outlineLevel="0" collapsed="false">
      <c r="A67" s="10" t="n">
        <v>83</v>
      </c>
      <c r="B67" s="7" t="s">
        <v>524</v>
      </c>
      <c r="C67" s="7" t="s">
        <v>525</v>
      </c>
      <c r="D67" s="7" t="s">
        <v>227</v>
      </c>
      <c r="E67" s="11" t="s">
        <v>60</v>
      </c>
      <c r="F67" s="7" t="s">
        <v>228</v>
      </c>
      <c r="G67" s="7" t="s">
        <v>228</v>
      </c>
      <c r="H67" s="7" t="s">
        <v>228</v>
      </c>
      <c r="I67" s="7" t="s">
        <v>229</v>
      </c>
      <c r="J67" s="7" t="s">
        <v>227</v>
      </c>
      <c r="K67" s="7" t="s">
        <v>227</v>
      </c>
      <c r="L67" s="12" t="s">
        <v>526</v>
      </c>
      <c r="M67" s="7" t="s">
        <v>231</v>
      </c>
    </row>
    <row r="68" customFormat="false" ht="23.25" hidden="false" customHeight="true" outlineLevel="0" collapsed="false">
      <c r="A68" s="10" t="n">
        <v>82</v>
      </c>
      <c r="B68" s="7" t="s">
        <v>527</v>
      </c>
      <c r="C68" s="7" t="s">
        <v>528</v>
      </c>
      <c r="D68" s="7" t="s">
        <v>275</v>
      </c>
      <c r="E68" s="11" t="s">
        <v>60</v>
      </c>
      <c r="F68" s="7" t="s">
        <v>61</v>
      </c>
      <c r="G68" s="7" t="s">
        <v>63</v>
      </c>
      <c r="H68" s="7" t="s">
        <v>63</v>
      </c>
      <c r="I68" s="7" t="s">
        <v>529</v>
      </c>
      <c r="J68" s="7" t="s">
        <v>530</v>
      </c>
      <c r="K68" s="7" t="s">
        <v>531</v>
      </c>
      <c r="L68" s="12" t="s">
        <v>532</v>
      </c>
      <c r="M68" s="7" t="s">
        <v>533</v>
      </c>
    </row>
    <row r="69" customFormat="false" ht="34.5" hidden="false" customHeight="true" outlineLevel="0" collapsed="false">
      <c r="A69" s="10" t="n">
        <v>82</v>
      </c>
      <c r="B69" s="7" t="s">
        <v>534</v>
      </c>
      <c r="C69" s="7" t="s">
        <v>535</v>
      </c>
      <c r="D69" s="7" t="s">
        <v>536</v>
      </c>
      <c r="E69" s="11" t="s">
        <v>60</v>
      </c>
      <c r="F69" s="7" t="s">
        <v>61</v>
      </c>
      <c r="G69" s="7" t="s">
        <v>63</v>
      </c>
      <c r="H69" s="7" t="s">
        <v>63</v>
      </c>
      <c r="I69" s="7" t="s">
        <v>537</v>
      </c>
      <c r="J69" s="7" t="s">
        <v>538</v>
      </c>
      <c r="K69" s="7" t="s">
        <v>539</v>
      </c>
      <c r="L69" s="12" t="s">
        <v>540</v>
      </c>
      <c r="M69" s="7" t="s">
        <v>541</v>
      </c>
    </row>
    <row r="70" customFormat="false" ht="34.5" hidden="false" customHeight="true" outlineLevel="0" collapsed="false">
      <c r="A70" s="10" t="n">
        <v>82</v>
      </c>
      <c r="B70" s="7" t="s">
        <v>435</v>
      </c>
      <c r="C70" s="7" t="s">
        <v>542</v>
      </c>
      <c r="D70" s="7" t="s">
        <v>543</v>
      </c>
      <c r="E70" s="11" t="s">
        <v>60</v>
      </c>
      <c r="F70" s="7" t="s">
        <v>109</v>
      </c>
      <c r="G70" s="7" t="s">
        <v>544</v>
      </c>
      <c r="H70" s="7" t="s">
        <v>63</v>
      </c>
      <c r="I70" s="7" t="s">
        <v>545</v>
      </c>
      <c r="J70" s="7" t="s">
        <v>546</v>
      </c>
      <c r="K70" s="7" t="s">
        <v>547</v>
      </c>
      <c r="L70" s="12" t="s">
        <v>548</v>
      </c>
      <c r="M70" s="7" t="s">
        <v>549</v>
      </c>
    </row>
    <row r="71" customFormat="false" ht="34.5" hidden="false" customHeight="true" outlineLevel="0" collapsed="false">
      <c r="A71" s="10" t="n">
        <v>82</v>
      </c>
      <c r="B71" s="7" t="s">
        <v>550</v>
      </c>
      <c r="C71" s="7" t="s">
        <v>551</v>
      </c>
      <c r="D71" s="7" t="s">
        <v>552</v>
      </c>
      <c r="E71" s="11" t="s">
        <v>60</v>
      </c>
      <c r="F71" s="7" t="s">
        <v>61</v>
      </c>
      <c r="G71" s="7" t="s">
        <v>63</v>
      </c>
      <c r="H71" s="7" t="s">
        <v>63</v>
      </c>
      <c r="I71" s="7" t="s">
        <v>553</v>
      </c>
      <c r="J71" s="7" t="s">
        <v>554</v>
      </c>
      <c r="K71" s="7" t="s">
        <v>555</v>
      </c>
      <c r="L71" s="12" t="s">
        <v>556</v>
      </c>
      <c r="M71" s="7" t="s">
        <v>557</v>
      </c>
    </row>
    <row r="72" customFormat="false" ht="23.25" hidden="false" customHeight="true" outlineLevel="0" collapsed="false">
      <c r="A72" s="13" t="n">
        <v>82</v>
      </c>
      <c r="B72" s="7" t="s">
        <v>503</v>
      </c>
      <c r="C72" s="7" t="s">
        <v>558</v>
      </c>
      <c r="D72" s="7" t="s">
        <v>260</v>
      </c>
      <c r="E72" s="14" t="s">
        <v>210</v>
      </c>
      <c r="F72" s="7" t="s">
        <v>61</v>
      </c>
      <c r="G72" s="7" t="s">
        <v>506</v>
      </c>
      <c r="H72" s="7" t="s">
        <v>507</v>
      </c>
      <c r="I72" s="7" t="s">
        <v>508</v>
      </c>
      <c r="J72" s="7" t="s">
        <v>559</v>
      </c>
      <c r="K72" s="7" t="s">
        <v>560</v>
      </c>
      <c r="L72" s="12" t="s">
        <v>561</v>
      </c>
      <c r="M72" s="7" t="s">
        <v>562</v>
      </c>
    </row>
    <row r="73" customFormat="false" ht="23.25" hidden="false" customHeight="true" outlineLevel="0" collapsed="false">
      <c r="A73" s="10" t="n">
        <v>82</v>
      </c>
      <c r="B73" s="7" t="s">
        <v>563</v>
      </c>
      <c r="C73" s="7" t="s">
        <v>564</v>
      </c>
      <c r="D73" s="7" t="s">
        <v>565</v>
      </c>
      <c r="E73" s="11" t="s">
        <v>60</v>
      </c>
      <c r="F73" s="7" t="s">
        <v>61</v>
      </c>
      <c r="G73" s="7" t="s">
        <v>63</v>
      </c>
      <c r="H73" s="7" t="s">
        <v>63</v>
      </c>
      <c r="I73" s="7" t="s">
        <v>63</v>
      </c>
      <c r="J73" s="7" t="s">
        <v>566</v>
      </c>
      <c r="K73" s="7" t="s">
        <v>567</v>
      </c>
      <c r="L73" s="12" t="s">
        <v>568</v>
      </c>
      <c r="M73" s="7" t="s">
        <v>569</v>
      </c>
    </row>
    <row r="74" customFormat="false" ht="34.5" hidden="false" customHeight="true" outlineLevel="0" collapsed="false">
      <c r="A74" s="10" t="n">
        <v>82</v>
      </c>
      <c r="B74" s="7" t="s">
        <v>570</v>
      </c>
      <c r="C74" s="7" t="s">
        <v>571</v>
      </c>
      <c r="D74" s="7" t="s">
        <v>227</v>
      </c>
      <c r="E74" s="11" t="s">
        <v>60</v>
      </c>
      <c r="F74" s="7" t="s">
        <v>228</v>
      </c>
      <c r="G74" s="7" t="s">
        <v>228</v>
      </c>
      <c r="H74" s="7" t="s">
        <v>228</v>
      </c>
      <c r="I74" s="7" t="s">
        <v>229</v>
      </c>
      <c r="J74" s="7" t="s">
        <v>227</v>
      </c>
      <c r="K74" s="7" t="s">
        <v>227</v>
      </c>
      <c r="L74" s="12" t="s">
        <v>572</v>
      </c>
      <c r="M74" s="7" t="s">
        <v>231</v>
      </c>
    </row>
    <row r="75" customFormat="false" ht="23.25" hidden="false" customHeight="true" outlineLevel="0" collapsed="false">
      <c r="A75" s="15" t="n">
        <v>82</v>
      </c>
      <c r="B75" s="7" t="s">
        <v>427</v>
      </c>
      <c r="C75" s="7" t="s">
        <v>332</v>
      </c>
      <c r="D75" s="7" t="s">
        <v>227</v>
      </c>
      <c r="E75" s="16" t="s">
        <v>333</v>
      </c>
      <c r="F75" s="7" t="s">
        <v>228</v>
      </c>
      <c r="G75" s="7" t="s">
        <v>228</v>
      </c>
      <c r="H75" s="7" t="s">
        <v>228</v>
      </c>
      <c r="I75" s="7" t="s">
        <v>229</v>
      </c>
      <c r="J75" s="7" t="s">
        <v>227</v>
      </c>
      <c r="K75" s="7" t="s">
        <v>227</v>
      </c>
      <c r="L75" s="12" t="s">
        <v>573</v>
      </c>
      <c r="M75" s="7" t="s">
        <v>231</v>
      </c>
    </row>
    <row r="76" customFormat="false" ht="34.5" hidden="false" customHeight="true" outlineLevel="0" collapsed="false">
      <c r="A76" s="10" t="n">
        <v>82</v>
      </c>
      <c r="B76" s="7" t="s">
        <v>344</v>
      </c>
      <c r="C76" s="7" t="s">
        <v>574</v>
      </c>
      <c r="D76" s="7" t="s">
        <v>349</v>
      </c>
      <c r="E76" s="11" t="s">
        <v>60</v>
      </c>
      <c r="F76" s="7" t="s">
        <v>61</v>
      </c>
      <c r="G76" s="7" t="s">
        <v>350</v>
      </c>
      <c r="H76" s="7" t="s">
        <v>351</v>
      </c>
      <c r="I76" s="7" t="s">
        <v>352</v>
      </c>
      <c r="J76" s="7" t="s">
        <v>575</v>
      </c>
      <c r="K76" s="7" t="s">
        <v>354</v>
      </c>
      <c r="L76" s="12" t="s">
        <v>576</v>
      </c>
      <c r="M76" s="7" t="s">
        <v>356</v>
      </c>
    </row>
    <row r="77" customFormat="false" ht="34.5" hidden="false" customHeight="true" outlineLevel="0" collapsed="false">
      <c r="A77" s="10" t="n">
        <v>82</v>
      </c>
      <c r="B77" s="7" t="s">
        <v>577</v>
      </c>
      <c r="C77" s="7" t="s">
        <v>578</v>
      </c>
      <c r="D77" s="7" t="s">
        <v>456</v>
      </c>
      <c r="E77" s="11" t="s">
        <v>60</v>
      </c>
      <c r="F77" s="7" t="s">
        <v>61</v>
      </c>
      <c r="G77" s="7" t="s">
        <v>350</v>
      </c>
      <c r="H77" s="7" t="s">
        <v>351</v>
      </c>
      <c r="I77" s="7" t="s">
        <v>352</v>
      </c>
      <c r="J77" s="7" t="s">
        <v>579</v>
      </c>
      <c r="K77" s="7" t="s">
        <v>354</v>
      </c>
      <c r="L77" s="12" t="s">
        <v>580</v>
      </c>
      <c r="M77" s="7" t="s">
        <v>356</v>
      </c>
    </row>
    <row r="78" customFormat="false" ht="34.5" hidden="false" customHeight="true" outlineLevel="0" collapsed="false">
      <c r="A78" s="10" t="n">
        <v>82</v>
      </c>
      <c r="B78" s="7" t="s">
        <v>581</v>
      </c>
      <c r="C78" s="7" t="s">
        <v>582</v>
      </c>
      <c r="D78" s="7" t="s">
        <v>456</v>
      </c>
      <c r="E78" s="11" t="s">
        <v>60</v>
      </c>
      <c r="F78" s="7" t="s">
        <v>61</v>
      </c>
      <c r="G78" s="7" t="s">
        <v>350</v>
      </c>
      <c r="H78" s="7" t="s">
        <v>351</v>
      </c>
      <c r="I78" s="7" t="s">
        <v>352</v>
      </c>
      <c r="J78" s="7" t="s">
        <v>583</v>
      </c>
      <c r="K78" s="7" t="s">
        <v>354</v>
      </c>
      <c r="L78" s="12" t="s">
        <v>584</v>
      </c>
      <c r="M78" s="7" t="s">
        <v>356</v>
      </c>
    </row>
    <row r="79" customFormat="false" ht="45.75" hidden="false" customHeight="true" outlineLevel="0" collapsed="false">
      <c r="A79" s="10" t="n">
        <v>82</v>
      </c>
      <c r="B79" s="7" t="s">
        <v>207</v>
      </c>
      <c r="C79" s="7" t="s">
        <v>585</v>
      </c>
      <c r="D79" s="7" t="s">
        <v>586</v>
      </c>
      <c r="E79" s="11" t="s">
        <v>60</v>
      </c>
      <c r="F79" s="7" t="s">
        <v>61</v>
      </c>
      <c r="G79" s="7" t="s">
        <v>350</v>
      </c>
      <c r="H79" s="7" t="s">
        <v>351</v>
      </c>
      <c r="I79" s="7" t="s">
        <v>587</v>
      </c>
      <c r="J79" s="7" t="s">
        <v>588</v>
      </c>
      <c r="K79" s="7" t="s">
        <v>589</v>
      </c>
      <c r="L79" s="12" t="s">
        <v>590</v>
      </c>
      <c r="M79" s="7" t="s">
        <v>591</v>
      </c>
    </row>
    <row r="80" customFormat="false" ht="34.5" hidden="false" customHeight="true" outlineLevel="0" collapsed="false">
      <c r="A80" s="10" t="n">
        <v>82</v>
      </c>
      <c r="B80" s="7" t="s">
        <v>592</v>
      </c>
      <c r="C80" s="7" t="s">
        <v>593</v>
      </c>
      <c r="D80" s="7" t="s">
        <v>594</v>
      </c>
      <c r="E80" s="11" t="s">
        <v>60</v>
      </c>
      <c r="F80" s="7" t="s">
        <v>61</v>
      </c>
      <c r="G80" s="7" t="s">
        <v>350</v>
      </c>
      <c r="H80" s="7" t="s">
        <v>351</v>
      </c>
      <c r="I80" s="7" t="s">
        <v>587</v>
      </c>
      <c r="J80" s="7" t="s">
        <v>595</v>
      </c>
      <c r="K80" s="7" t="s">
        <v>589</v>
      </c>
      <c r="L80" s="12" t="s">
        <v>596</v>
      </c>
      <c r="M80" s="7" t="s">
        <v>591</v>
      </c>
    </row>
    <row r="81" customFormat="false" ht="34.5" hidden="false" customHeight="true" outlineLevel="0" collapsed="false">
      <c r="A81" s="10" t="n">
        <v>82</v>
      </c>
      <c r="B81" s="7" t="s">
        <v>597</v>
      </c>
      <c r="C81" s="7" t="s">
        <v>598</v>
      </c>
      <c r="D81" s="7" t="s">
        <v>599</v>
      </c>
      <c r="E81" s="11" t="s">
        <v>60</v>
      </c>
      <c r="F81" s="7" t="s">
        <v>61</v>
      </c>
      <c r="G81" s="7" t="s">
        <v>350</v>
      </c>
      <c r="H81" s="7" t="s">
        <v>351</v>
      </c>
      <c r="I81" s="7" t="s">
        <v>587</v>
      </c>
      <c r="J81" s="7" t="s">
        <v>600</v>
      </c>
      <c r="K81" s="7" t="s">
        <v>589</v>
      </c>
      <c r="L81" s="12" t="s">
        <v>601</v>
      </c>
      <c r="M81" s="7" t="s">
        <v>591</v>
      </c>
    </row>
    <row r="82" customFormat="false" ht="23.25" hidden="false" customHeight="true" outlineLevel="0" collapsed="false">
      <c r="A82" s="10" t="n">
        <v>82</v>
      </c>
      <c r="B82" s="7" t="s">
        <v>602</v>
      </c>
      <c r="C82" s="7" t="s">
        <v>603</v>
      </c>
      <c r="D82" s="7" t="s">
        <v>604</v>
      </c>
      <c r="E82" s="11" t="s">
        <v>60</v>
      </c>
      <c r="F82" s="7" t="s">
        <v>61</v>
      </c>
      <c r="G82" s="7" t="s">
        <v>350</v>
      </c>
      <c r="H82" s="7" t="s">
        <v>351</v>
      </c>
      <c r="I82" s="7" t="s">
        <v>587</v>
      </c>
      <c r="J82" s="7" t="s">
        <v>605</v>
      </c>
      <c r="K82" s="7" t="s">
        <v>589</v>
      </c>
      <c r="L82" s="12" t="s">
        <v>606</v>
      </c>
      <c r="M82" s="7" t="s">
        <v>591</v>
      </c>
    </row>
    <row r="83" customFormat="false" ht="23.25" hidden="false" customHeight="true" outlineLevel="0" collapsed="false">
      <c r="A83" s="13" t="n">
        <v>82</v>
      </c>
      <c r="B83" s="7" t="s">
        <v>344</v>
      </c>
      <c r="C83" s="7" t="s">
        <v>607</v>
      </c>
      <c r="D83" s="7" t="s">
        <v>608</v>
      </c>
      <c r="E83" s="14" t="s">
        <v>210</v>
      </c>
      <c r="F83" s="7" t="s">
        <v>61</v>
      </c>
      <c r="G83" s="7" t="s">
        <v>609</v>
      </c>
      <c r="H83" s="7" t="s">
        <v>63</v>
      </c>
      <c r="I83" s="7" t="s">
        <v>63</v>
      </c>
      <c r="J83" s="7" t="s">
        <v>610</v>
      </c>
      <c r="K83" s="7" t="s">
        <v>611</v>
      </c>
      <c r="L83" s="12" t="s">
        <v>612</v>
      </c>
      <c r="M83" s="7" t="s">
        <v>613</v>
      </c>
    </row>
    <row r="84" customFormat="false" ht="34.5" hidden="false" customHeight="true" outlineLevel="0" collapsed="false">
      <c r="A84" s="13" t="n">
        <v>82</v>
      </c>
      <c r="B84" s="7" t="s">
        <v>614</v>
      </c>
      <c r="C84" s="7" t="s">
        <v>615</v>
      </c>
      <c r="D84" s="7" t="s">
        <v>616</v>
      </c>
      <c r="E84" s="14" t="s">
        <v>210</v>
      </c>
      <c r="F84" s="7" t="s">
        <v>61</v>
      </c>
      <c r="G84" s="7" t="s">
        <v>617</v>
      </c>
      <c r="H84" s="7" t="s">
        <v>63</v>
      </c>
      <c r="I84" s="7" t="s">
        <v>63</v>
      </c>
      <c r="J84" s="7" t="s">
        <v>618</v>
      </c>
      <c r="K84" s="7" t="s">
        <v>619</v>
      </c>
      <c r="L84" s="12" t="s">
        <v>620</v>
      </c>
      <c r="M84" s="7" t="s">
        <v>621</v>
      </c>
    </row>
    <row r="85" customFormat="false" ht="34.5" hidden="false" customHeight="true" outlineLevel="0" collapsed="false">
      <c r="A85" s="13" t="n">
        <v>81</v>
      </c>
      <c r="B85" s="7" t="s">
        <v>622</v>
      </c>
      <c r="C85" s="7" t="s">
        <v>623</v>
      </c>
      <c r="D85" s="7" t="s">
        <v>624</v>
      </c>
      <c r="E85" s="14" t="s">
        <v>210</v>
      </c>
      <c r="F85" s="7" t="s">
        <v>61</v>
      </c>
      <c r="G85" s="7" t="s">
        <v>176</v>
      </c>
      <c r="H85" s="7" t="s">
        <v>63</v>
      </c>
      <c r="I85" s="7" t="s">
        <v>625</v>
      </c>
      <c r="J85" s="7" t="s">
        <v>626</v>
      </c>
      <c r="K85" s="7" t="s">
        <v>627</v>
      </c>
      <c r="L85" s="12" t="s">
        <v>628</v>
      </c>
      <c r="M85" s="7" t="s">
        <v>629</v>
      </c>
    </row>
    <row r="86" customFormat="false" ht="34.5" hidden="false" customHeight="true" outlineLevel="0" collapsed="false">
      <c r="A86" s="13" t="n">
        <v>81</v>
      </c>
      <c r="B86" s="7" t="s">
        <v>630</v>
      </c>
      <c r="C86" s="7" t="s">
        <v>631</v>
      </c>
      <c r="D86" s="7" t="s">
        <v>632</v>
      </c>
      <c r="E86" s="14" t="s">
        <v>210</v>
      </c>
      <c r="F86" s="7" t="s">
        <v>61</v>
      </c>
      <c r="G86" s="7" t="s">
        <v>63</v>
      </c>
      <c r="H86" s="7" t="s">
        <v>63</v>
      </c>
      <c r="I86" s="7" t="s">
        <v>633</v>
      </c>
      <c r="J86" s="7" t="s">
        <v>634</v>
      </c>
      <c r="K86" s="7" t="s">
        <v>635</v>
      </c>
      <c r="L86" s="12" t="s">
        <v>636</v>
      </c>
      <c r="M86" s="7" t="s">
        <v>637</v>
      </c>
    </row>
    <row r="87" customFormat="false" ht="34.5" hidden="false" customHeight="true" outlineLevel="0" collapsed="false">
      <c r="A87" s="10" t="n">
        <v>81</v>
      </c>
      <c r="B87" s="7" t="s">
        <v>638</v>
      </c>
      <c r="C87" s="7" t="s">
        <v>639</v>
      </c>
      <c r="D87" s="7" t="s">
        <v>640</v>
      </c>
      <c r="E87" s="11" t="s">
        <v>60</v>
      </c>
      <c r="F87" s="7" t="s">
        <v>61</v>
      </c>
      <c r="G87" s="7" t="s">
        <v>63</v>
      </c>
      <c r="H87" s="7" t="s">
        <v>63</v>
      </c>
      <c r="I87" s="7" t="s">
        <v>641</v>
      </c>
      <c r="J87" s="7" t="s">
        <v>642</v>
      </c>
      <c r="K87" s="7" t="s">
        <v>643</v>
      </c>
      <c r="L87" s="12" t="s">
        <v>644</v>
      </c>
      <c r="M87" s="7" t="s">
        <v>645</v>
      </c>
    </row>
    <row r="88" customFormat="false" ht="34.5" hidden="false" customHeight="true" outlineLevel="0" collapsed="false">
      <c r="A88" s="10" t="n">
        <v>81</v>
      </c>
      <c r="B88" s="7" t="s">
        <v>646</v>
      </c>
      <c r="C88" s="7" t="s">
        <v>647</v>
      </c>
      <c r="D88" s="7" t="s">
        <v>437</v>
      </c>
      <c r="E88" s="11" t="s">
        <v>60</v>
      </c>
      <c r="F88" s="7" t="s">
        <v>61</v>
      </c>
      <c r="G88" s="7" t="s">
        <v>648</v>
      </c>
      <c r="H88" s="7" t="s">
        <v>63</v>
      </c>
      <c r="I88" s="7" t="s">
        <v>649</v>
      </c>
      <c r="J88" s="7" t="s">
        <v>650</v>
      </c>
      <c r="K88" s="7" t="s">
        <v>651</v>
      </c>
      <c r="L88" s="12" t="s">
        <v>652</v>
      </c>
      <c r="M88" s="7" t="s">
        <v>653</v>
      </c>
    </row>
    <row r="89" customFormat="false" ht="34.5" hidden="false" customHeight="true" outlineLevel="0" collapsed="false">
      <c r="A89" s="10" t="n">
        <v>81</v>
      </c>
      <c r="B89" s="7" t="s">
        <v>335</v>
      </c>
      <c r="C89" s="7" t="s">
        <v>654</v>
      </c>
      <c r="D89" s="7" t="s">
        <v>437</v>
      </c>
      <c r="E89" s="11" t="s">
        <v>60</v>
      </c>
      <c r="F89" s="7" t="s">
        <v>61</v>
      </c>
      <c r="G89" s="7" t="s">
        <v>63</v>
      </c>
      <c r="H89" s="7" t="s">
        <v>655</v>
      </c>
      <c r="I89" s="7" t="s">
        <v>656</v>
      </c>
      <c r="J89" s="7" t="s">
        <v>657</v>
      </c>
      <c r="K89" s="7" t="s">
        <v>658</v>
      </c>
      <c r="L89" s="12" t="s">
        <v>659</v>
      </c>
      <c r="M89" s="7" t="s">
        <v>660</v>
      </c>
    </row>
    <row r="90" customFormat="false" ht="34.5" hidden="false" customHeight="true" outlineLevel="0" collapsed="false">
      <c r="A90" s="10" t="n">
        <v>81</v>
      </c>
      <c r="B90" s="7" t="s">
        <v>661</v>
      </c>
      <c r="C90" s="7" t="s">
        <v>662</v>
      </c>
      <c r="D90" s="7" t="s">
        <v>663</v>
      </c>
      <c r="E90" s="11" t="s">
        <v>60</v>
      </c>
      <c r="F90" s="7" t="s">
        <v>61</v>
      </c>
      <c r="G90" s="7" t="s">
        <v>63</v>
      </c>
      <c r="H90" s="7" t="s">
        <v>664</v>
      </c>
      <c r="I90" s="7" t="s">
        <v>665</v>
      </c>
      <c r="J90" s="7" t="s">
        <v>666</v>
      </c>
      <c r="K90" s="7" t="s">
        <v>667</v>
      </c>
      <c r="L90" s="12" t="s">
        <v>668</v>
      </c>
      <c r="M90" s="7" t="s">
        <v>669</v>
      </c>
    </row>
    <row r="91" customFormat="false" ht="23.25" hidden="false" customHeight="true" outlineLevel="0" collapsed="false">
      <c r="A91" s="13" t="n">
        <v>81</v>
      </c>
      <c r="B91" s="7" t="s">
        <v>670</v>
      </c>
      <c r="C91" s="7" t="s">
        <v>671</v>
      </c>
      <c r="D91" s="7" t="s">
        <v>672</v>
      </c>
      <c r="E91" s="14" t="s">
        <v>210</v>
      </c>
      <c r="F91" s="7" t="s">
        <v>61</v>
      </c>
      <c r="G91" s="7" t="s">
        <v>63</v>
      </c>
      <c r="H91" s="7" t="s">
        <v>63</v>
      </c>
      <c r="I91" s="7" t="s">
        <v>673</v>
      </c>
      <c r="J91" s="7" t="s">
        <v>674</v>
      </c>
      <c r="K91" s="7" t="s">
        <v>675</v>
      </c>
      <c r="L91" s="12" t="s">
        <v>676</v>
      </c>
      <c r="M91" s="7" t="s">
        <v>677</v>
      </c>
    </row>
    <row r="92" customFormat="false" ht="34.5" hidden="false" customHeight="true" outlineLevel="0" collapsed="false">
      <c r="A92" s="10" t="n">
        <v>81</v>
      </c>
      <c r="B92" s="7" t="s">
        <v>678</v>
      </c>
      <c r="C92" s="7" t="s">
        <v>679</v>
      </c>
      <c r="D92" s="7" t="s">
        <v>168</v>
      </c>
      <c r="E92" s="11" t="s">
        <v>60</v>
      </c>
      <c r="F92" s="7" t="s">
        <v>61</v>
      </c>
      <c r="G92" s="7" t="s">
        <v>680</v>
      </c>
      <c r="H92" s="7" t="s">
        <v>681</v>
      </c>
      <c r="I92" s="7" t="s">
        <v>63</v>
      </c>
      <c r="J92" s="7" t="s">
        <v>682</v>
      </c>
      <c r="K92" s="7" t="s">
        <v>683</v>
      </c>
      <c r="L92" s="12" t="s">
        <v>684</v>
      </c>
      <c r="M92" s="7" t="s">
        <v>685</v>
      </c>
    </row>
    <row r="93" customFormat="false" ht="23.25" hidden="false" customHeight="true" outlineLevel="0" collapsed="false">
      <c r="A93" s="10" t="n">
        <v>81</v>
      </c>
      <c r="B93" s="7" t="s">
        <v>686</v>
      </c>
      <c r="C93" s="7" t="s">
        <v>687</v>
      </c>
      <c r="D93" s="7" t="s">
        <v>688</v>
      </c>
      <c r="E93" s="11" t="s">
        <v>60</v>
      </c>
      <c r="F93" s="7" t="s">
        <v>61</v>
      </c>
      <c r="G93" s="7" t="s">
        <v>63</v>
      </c>
      <c r="H93" s="7" t="s">
        <v>63</v>
      </c>
      <c r="I93" s="7" t="s">
        <v>63</v>
      </c>
      <c r="J93" s="7" t="s">
        <v>689</v>
      </c>
      <c r="K93" s="7" t="s">
        <v>690</v>
      </c>
      <c r="L93" s="12" t="s">
        <v>691</v>
      </c>
      <c r="M93" s="7" t="s">
        <v>692</v>
      </c>
    </row>
    <row r="94" customFormat="false" ht="34.5" hidden="false" customHeight="true" outlineLevel="0" collapsed="false">
      <c r="A94" s="13" t="n">
        <v>81</v>
      </c>
      <c r="B94" s="7" t="s">
        <v>693</v>
      </c>
      <c r="C94" s="7" t="s">
        <v>694</v>
      </c>
      <c r="D94" s="7" t="s">
        <v>695</v>
      </c>
      <c r="E94" s="14" t="s">
        <v>210</v>
      </c>
      <c r="F94" s="7" t="s">
        <v>61</v>
      </c>
      <c r="G94" s="7" t="s">
        <v>696</v>
      </c>
      <c r="H94" s="7" t="s">
        <v>63</v>
      </c>
      <c r="I94" s="7" t="s">
        <v>649</v>
      </c>
      <c r="J94" s="7" t="s">
        <v>697</v>
      </c>
      <c r="K94" s="7" t="s">
        <v>698</v>
      </c>
      <c r="L94" s="12" t="s">
        <v>699</v>
      </c>
      <c r="M94" s="7" t="s">
        <v>700</v>
      </c>
    </row>
    <row r="95" customFormat="false" ht="34.5" hidden="false" customHeight="true" outlineLevel="0" collapsed="false">
      <c r="A95" s="13" t="n">
        <v>81</v>
      </c>
      <c r="B95" s="7" t="s">
        <v>701</v>
      </c>
      <c r="C95" s="7" t="s">
        <v>702</v>
      </c>
      <c r="D95" s="7" t="s">
        <v>703</v>
      </c>
      <c r="E95" s="14" t="s">
        <v>210</v>
      </c>
      <c r="F95" s="7" t="s">
        <v>61</v>
      </c>
      <c r="G95" s="7" t="s">
        <v>704</v>
      </c>
      <c r="H95" s="7" t="s">
        <v>63</v>
      </c>
      <c r="I95" s="7" t="s">
        <v>705</v>
      </c>
      <c r="J95" s="7" t="s">
        <v>706</v>
      </c>
      <c r="K95" s="7" t="s">
        <v>707</v>
      </c>
      <c r="L95" s="12" t="s">
        <v>708</v>
      </c>
      <c r="M95" s="7" t="s">
        <v>709</v>
      </c>
    </row>
    <row r="96" customFormat="false" ht="34.5" hidden="false" customHeight="true" outlineLevel="0" collapsed="false">
      <c r="A96" s="13" t="n">
        <v>81</v>
      </c>
      <c r="B96" s="7" t="s">
        <v>710</v>
      </c>
      <c r="C96" s="7" t="s">
        <v>711</v>
      </c>
      <c r="D96" s="7" t="s">
        <v>712</v>
      </c>
      <c r="E96" s="14" t="s">
        <v>210</v>
      </c>
      <c r="F96" s="7" t="s">
        <v>61</v>
      </c>
      <c r="G96" s="7" t="s">
        <v>713</v>
      </c>
      <c r="H96" s="7" t="s">
        <v>714</v>
      </c>
      <c r="I96" s="7" t="s">
        <v>715</v>
      </c>
      <c r="J96" s="7" t="s">
        <v>716</v>
      </c>
      <c r="K96" s="7" t="s">
        <v>717</v>
      </c>
      <c r="L96" s="12" t="s">
        <v>718</v>
      </c>
      <c r="M96" s="7" t="s">
        <v>719</v>
      </c>
    </row>
    <row r="97" customFormat="false" ht="23.25" hidden="false" customHeight="true" outlineLevel="0" collapsed="false">
      <c r="A97" s="13" t="n">
        <v>80</v>
      </c>
      <c r="B97" s="7" t="s">
        <v>720</v>
      </c>
      <c r="C97" s="7" t="s">
        <v>721</v>
      </c>
      <c r="D97" s="7" t="s">
        <v>722</v>
      </c>
      <c r="E97" s="14" t="s">
        <v>210</v>
      </c>
      <c r="F97" s="7" t="s">
        <v>61</v>
      </c>
      <c r="G97" s="7" t="s">
        <v>723</v>
      </c>
      <c r="H97" s="7" t="s">
        <v>724</v>
      </c>
      <c r="I97" s="7" t="s">
        <v>63</v>
      </c>
      <c r="J97" s="7" t="s">
        <v>725</v>
      </c>
      <c r="K97" s="7" t="s">
        <v>726</v>
      </c>
      <c r="L97" s="12" t="s">
        <v>727</v>
      </c>
      <c r="M97" s="7" t="s">
        <v>728</v>
      </c>
    </row>
    <row r="98" customFormat="false" ht="23.25" hidden="false" customHeight="true" outlineLevel="0" collapsed="false">
      <c r="A98" s="13" t="n">
        <v>80</v>
      </c>
      <c r="B98" s="7" t="s">
        <v>729</v>
      </c>
      <c r="C98" s="7" t="s">
        <v>730</v>
      </c>
      <c r="D98" s="7" t="s">
        <v>731</v>
      </c>
      <c r="E98" s="14" t="s">
        <v>210</v>
      </c>
      <c r="F98" s="7" t="s">
        <v>61</v>
      </c>
      <c r="G98" s="7" t="s">
        <v>176</v>
      </c>
      <c r="H98" s="7" t="s">
        <v>732</v>
      </c>
      <c r="I98" s="7" t="s">
        <v>63</v>
      </c>
      <c r="J98" s="7" t="s">
        <v>733</v>
      </c>
      <c r="K98" s="7" t="s">
        <v>734</v>
      </c>
      <c r="L98" s="12" t="s">
        <v>735</v>
      </c>
      <c r="M98" s="7" t="s">
        <v>736</v>
      </c>
    </row>
    <row r="99" customFormat="false" ht="23.25" hidden="false" customHeight="true" outlineLevel="0" collapsed="false">
      <c r="A99" s="10" t="n">
        <v>80</v>
      </c>
      <c r="B99" s="7" t="s">
        <v>737</v>
      </c>
      <c r="C99" s="7" t="s">
        <v>738</v>
      </c>
      <c r="D99" s="7" t="s">
        <v>739</v>
      </c>
      <c r="E99" s="11" t="s">
        <v>60</v>
      </c>
      <c r="F99" s="7" t="s">
        <v>61</v>
      </c>
      <c r="G99" s="7" t="s">
        <v>63</v>
      </c>
      <c r="H99" s="7" t="s">
        <v>740</v>
      </c>
      <c r="I99" s="7" t="s">
        <v>656</v>
      </c>
      <c r="J99" s="7" t="s">
        <v>741</v>
      </c>
      <c r="K99" s="7" t="s">
        <v>742</v>
      </c>
      <c r="L99" s="12" t="s">
        <v>743</v>
      </c>
      <c r="M99" s="7" t="s">
        <v>744</v>
      </c>
    </row>
    <row r="100" customFormat="false" ht="34.5" hidden="false" customHeight="true" outlineLevel="0" collapsed="false">
      <c r="A100" s="10" t="n">
        <v>80</v>
      </c>
      <c r="B100" s="7" t="s">
        <v>745</v>
      </c>
      <c r="C100" s="7" t="s">
        <v>746</v>
      </c>
      <c r="D100" s="7" t="s">
        <v>227</v>
      </c>
      <c r="E100" s="11" t="s">
        <v>60</v>
      </c>
      <c r="F100" s="7" t="s">
        <v>228</v>
      </c>
      <c r="G100" s="7" t="s">
        <v>228</v>
      </c>
      <c r="H100" s="7" t="s">
        <v>228</v>
      </c>
      <c r="I100" s="7" t="s">
        <v>229</v>
      </c>
      <c r="J100" s="7" t="s">
        <v>227</v>
      </c>
      <c r="K100" s="7" t="s">
        <v>227</v>
      </c>
      <c r="L100" s="12" t="s">
        <v>747</v>
      </c>
      <c r="M100" s="7" t="s">
        <v>231</v>
      </c>
    </row>
    <row r="101" customFormat="false" ht="34.5" hidden="false" customHeight="true" outlineLevel="0" collapsed="false">
      <c r="A101" s="13" t="n">
        <v>79</v>
      </c>
      <c r="B101" s="7" t="s">
        <v>748</v>
      </c>
      <c r="C101" s="7" t="s">
        <v>749</v>
      </c>
      <c r="D101" s="7" t="s">
        <v>750</v>
      </c>
      <c r="E101" s="14" t="s">
        <v>210</v>
      </c>
      <c r="F101" s="7" t="s">
        <v>61</v>
      </c>
      <c r="G101" s="7" t="s">
        <v>176</v>
      </c>
      <c r="H101" s="7" t="s">
        <v>751</v>
      </c>
      <c r="I101" s="7" t="s">
        <v>63</v>
      </c>
      <c r="J101" s="7" t="s">
        <v>752</v>
      </c>
      <c r="K101" s="7" t="s">
        <v>753</v>
      </c>
      <c r="L101" s="12" t="s">
        <v>754</v>
      </c>
      <c r="M101" s="7" t="s">
        <v>755</v>
      </c>
    </row>
    <row r="102" customFormat="false" ht="34.5" hidden="false" customHeight="true" outlineLevel="0" collapsed="false">
      <c r="A102" s="13" t="n">
        <v>79</v>
      </c>
      <c r="B102" s="7" t="s">
        <v>756</v>
      </c>
      <c r="C102" s="7" t="s">
        <v>757</v>
      </c>
      <c r="D102" s="7" t="s">
        <v>758</v>
      </c>
      <c r="E102" s="14" t="s">
        <v>210</v>
      </c>
      <c r="F102" s="7" t="s">
        <v>109</v>
      </c>
      <c r="G102" s="7" t="s">
        <v>759</v>
      </c>
      <c r="H102" s="7" t="s">
        <v>63</v>
      </c>
      <c r="I102" s="7" t="s">
        <v>295</v>
      </c>
      <c r="J102" s="7" t="s">
        <v>760</v>
      </c>
      <c r="K102" s="7" t="s">
        <v>761</v>
      </c>
      <c r="L102" s="12" t="s">
        <v>762</v>
      </c>
      <c r="M102" s="7" t="s">
        <v>763</v>
      </c>
    </row>
    <row r="103" customFormat="false" ht="45.75" hidden="false" customHeight="true" outlineLevel="0" collapsed="false">
      <c r="A103" s="13" t="n">
        <v>79</v>
      </c>
      <c r="B103" s="7" t="s">
        <v>764</v>
      </c>
      <c r="C103" s="7" t="s">
        <v>765</v>
      </c>
      <c r="D103" s="7" t="s">
        <v>766</v>
      </c>
      <c r="E103" s="14" t="s">
        <v>210</v>
      </c>
      <c r="F103" s="7" t="s">
        <v>72</v>
      </c>
      <c r="G103" s="7" t="s">
        <v>63</v>
      </c>
      <c r="H103" s="7" t="s">
        <v>767</v>
      </c>
      <c r="I103" s="7" t="s">
        <v>768</v>
      </c>
      <c r="J103" s="7" t="s">
        <v>769</v>
      </c>
      <c r="K103" s="7" t="s">
        <v>770</v>
      </c>
      <c r="L103" s="12" t="s">
        <v>771</v>
      </c>
      <c r="M103" s="7" t="s">
        <v>772</v>
      </c>
    </row>
    <row r="104" customFormat="false" ht="57" hidden="false" customHeight="true" outlineLevel="0" collapsed="false">
      <c r="A104" s="13" t="n">
        <v>79</v>
      </c>
      <c r="B104" s="7" t="s">
        <v>773</v>
      </c>
      <c r="C104" s="7" t="s">
        <v>774</v>
      </c>
      <c r="D104" s="7" t="s">
        <v>775</v>
      </c>
      <c r="E104" s="14" t="s">
        <v>210</v>
      </c>
      <c r="F104" s="7" t="s">
        <v>61</v>
      </c>
      <c r="G104" s="7" t="s">
        <v>776</v>
      </c>
      <c r="H104" s="7" t="s">
        <v>63</v>
      </c>
      <c r="I104" s="7" t="s">
        <v>633</v>
      </c>
      <c r="J104" s="7" t="s">
        <v>777</v>
      </c>
      <c r="K104" s="7" t="s">
        <v>778</v>
      </c>
      <c r="L104" s="12" t="s">
        <v>779</v>
      </c>
      <c r="M104" s="7" t="s">
        <v>780</v>
      </c>
    </row>
    <row r="105" customFormat="false" ht="34.5" hidden="false" customHeight="true" outlineLevel="0" collapsed="false">
      <c r="A105" s="13" t="n">
        <v>79</v>
      </c>
      <c r="B105" s="7" t="s">
        <v>781</v>
      </c>
      <c r="C105" s="7" t="s">
        <v>470</v>
      </c>
      <c r="D105" s="7" t="s">
        <v>782</v>
      </c>
      <c r="E105" s="14" t="s">
        <v>210</v>
      </c>
      <c r="F105" s="7" t="s">
        <v>61</v>
      </c>
      <c r="G105" s="7" t="s">
        <v>783</v>
      </c>
      <c r="H105" s="7" t="s">
        <v>63</v>
      </c>
      <c r="I105" s="7" t="s">
        <v>784</v>
      </c>
      <c r="J105" s="7" t="s">
        <v>785</v>
      </c>
      <c r="K105" s="7" t="s">
        <v>786</v>
      </c>
      <c r="L105" s="12" t="s">
        <v>787</v>
      </c>
      <c r="M105" s="7" t="s">
        <v>788</v>
      </c>
    </row>
    <row r="106" customFormat="false" ht="34.5" hidden="false" customHeight="true" outlineLevel="0" collapsed="false">
      <c r="A106" s="13" t="n">
        <v>79</v>
      </c>
      <c r="B106" s="7" t="s">
        <v>125</v>
      </c>
      <c r="C106" s="7" t="s">
        <v>789</v>
      </c>
      <c r="D106" s="7" t="s">
        <v>790</v>
      </c>
      <c r="E106" s="14" t="s">
        <v>210</v>
      </c>
      <c r="F106" s="7" t="s">
        <v>61</v>
      </c>
      <c r="G106" s="7" t="s">
        <v>63</v>
      </c>
      <c r="H106" s="7" t="s">
        <v>63</v>
      </c>
      <c r="I106" s="7" t="s">
        <v>791</v>
      </c>
      <c r="J106" s="7" t="s">
        <v>792</v>
      </c>
      <c r="K106" s="7" t="s">
        <v>793</v>
      </c>
      <c r="L106" s="12" t="s">
        <v>794</v>
      </c>
      <c r="M106" s="7" t="s">
        <v>795</v>
      </c>
    </row>
    <row r="107" customFormat="false" ht="45.75" hidden="false" customHeight="true" outlineLevel="0" collapsed="false">
      <c r="A107" s="13" t="n">
        <v>79</v>
      </c>
      <c r="B107" s="7" t="s">
        <v>796</v>
      </c>
      <c r="C107" s="7" t="s">
        <v>797</v>
      </c>
      <c r="D107" s="7" t="s">
        <v>798</v>
      </c>
      <c r="E107" s="14" t="s">
        <v>210</v>
      </c>
      <c r="F107" s="7" t="s">
        <v>72</v>
      </c>
      <c r="G107" s="7" t="s">
        <v>799</v>
      </c>
      <c r="H107" s="7" t="s">
        <v>800</v>
      </c>
      <c r="I107" s="7" t="s">
        <v>656</v>
      </c>
      <c r="J107" s="7" t="s">
        <v>801</v>
      </c>
      <c r="K107" s="7" t="s">
        <v>802</v>
      </c>
      <c r="L107" s="12" t="s">
        <v>803</v>
      </c>
      <c r="M107" s="7" t="s">
        <v>804</v>
      </c>
    </row>
    <row r="108" customFormat="false" ht="57" hidden="false" customHeight="true" outlineLevel="0" collapsed="false">
      <c r="A108" s="10" t="n">
        <v>79</v>
      </c>
      <c r="B108" s="7" t="s">
        <v>805</v>
      </c>
      <c r="C108" s="7" t="s">
        <v>806</v>
      </c>
      <c r="D108" s="7" t="s">
        <v>807</v>
      </c>
      <c r="E108" s="11" t="s">
        <v>60</v>
      </c>
      <c r="F108" s="7" t="s">
        <v>61</v>
      </c>
      <c r="G108" s="7" t="s">
        <v>808</v>
      </c>
      <c r="H108" s="7" t="s">
        <v>63</v>
      </c>
      <c r="I108" s="7" t="s">
        <v>63</v>
      </c>
      <c r="J108" s="7" t="s">
        <v>809</v>
      </c>
      <c r="K108" s="7" t="s">
        <v>810</v>
      </c>
      <c r="L108" s="12" t="s">
        <v>811</v>
      </c>
      <c r="M108" s="7" t="s">
        <v>812</v>
      </c>
    </row>
    <row r="109" customFormat="false" ht="57" hidden="false" customHeight="true" outlineLevel="0" collapsed="false">
      <c r="A109" s="10" t="n">
        <v>79</v>
      </c>
      <c r="B109" s="7" t="s">
        <v>813</v>
      </c>
      <c r="C109" s="7" t="s">
        <v>814</v>
      </c>
      <c r="D109" s="7" t="s">
        <v>815</v>
      </c>
      <c r="E109" s="11" t="s">
        <v>60</v>
      </c>
      <c r="F109" s="7" t="s">
        <v>61</v>
      </c>
      <c r="G109" s="7" t="s">
        <v>816</v>
      </c>
      <c r="H109" s="7" t="s">
        <v>817</v>
      </c>
      <c r="I109" s="7" t="s">
        <v>818</v>
      </c>
      <c r="J109" s="7" t="s">
        <v>819</v>
      </c>
      <c r="K109" s="7" t="s">
        <v>820</v>
      </c>
      <c r="L109" s="12" t="s">
        <v>821</v>
      </c>
      <c r="M109" s="7" t="s">
        <v>822</v>
      </c>
    </row>
    <row r="110" customFormat="false" ht="45.75" hidden="false" customHeight="true" outlineLevel="0" collapsed="false">
      <c r="A110" s="10" t="n">
        <v>78</v>
      </c>
      <c r="B110" s="7" t="s">
        <v>417</v>
      </c>
      <c r="C110" s="7" t="s">
        <v>823</v>
      </c>
      <c r="D110" s="7" t="s">
        <v>437</v>
      </c>
      <c r="E110" s="11" t="s">
        <v>60</v>
      </c>
      <c r="F110" s="7" t="s">
        <v>61</v>
      </c>
      <c r="G110" s="7" t="s">
        <v>63</v>
      </c>
      <c r="H110" s="7" t="s">
        <v>824</v>
      </c>
      <c r="I110" s="7" t="s">
        <v>825</v>
      </c>
      <c r="J110" s="7" t="s">
        <v>826</v>
      </c>
      <c r="K110" s="7" t="s">
        <v>827</v>
      </c>
      <c r="L110" s="12" t="s">
        <v>828</v>
      </c>
      <c r="M110" s="7" t="s">
        <v>829</v>
      </c>
    </row>
    <row r="111" customFormat="false" ht="23.25" hidden="false" customHeight="true" outlineLevel="0" collapsed="false">
      <c r="A111" s="13" t="n">
        <v>78</v>
      </c>
      <c r="B111" s="7" t="s">
        <v>250</v>
      </c>
      <c r="C111" s="7" t="s">
        <v>830</v>
      </c>
      <c r="D111" s="7" t="s">
        <v>831</v>
      </c>
      <c r="E111" s="14" t="s">
        <v>210</v>
      </c>
      <c r="F111" s="7" t="s">
        <v>61</v>
      </c>
      <c r="G111" s="7" t="s">
        <v>63</v>
      </c>
      <c r="H111" s="7" t="s">
        <v>63</v>
      </c>
      <c r="I111" s="7" t="s">
        <v>832</v>
      </c>
      <c r="J111" s="7" t="s">
        <v>833</v>
      </c>
      <c r="K111" s="7" t="s">
        <v>834</v>
      </c>
      <c r="L111" s="12" t="s">
        <v>835</v>
      </c>
      <c r="M111" s="7" t="s">
        <v>836</v>
      </c>
    </row>
    <row r="112" customFormat="false" ht="34.5" hidden="false" customHeight="true" outlineLevel="0" collapsed="false">
      <c r="A112" s="13" t="n">
        <v>78</v>
      </c>
      <c r="B112" s="7" t="s">
        <v>837</v>
      </c>
      <c r="C112" s="7" t="s">
        <v>838</v>
      </c>
      <c r="D112" s="7" t="s">
        <v>267</v>
      </c>
      <c r="E112" s="14" t="s">
        <v>210</v>
      </c>
      <c r="F112" s="7" t="s">
        <v>109</v>
      </c>
      <c r="G112" s="7" t="s">
        <v>63</v>
      </c>
      <c r="H112" s="7" t="s">
        <v>839</v>
      </c>
      <c r="I112" s="7" t="s">
        <v>840</v>
      </c>
      <c r="J112" s="7" t="s">
        <v>841</v>
      </c>
      <c r="K112" s="7" t="s">
        <v>842</v>
      </c>
      <c r="L112" s="12" t="s">
        <v>843</v>
      </c>
      <c r="M112" s="7" t="s">
        <v>844</v>
      </c>
    </row>
    <row r="113" customFormat="false" ht="34.5" hidden="false" customHeight="true" outlineLevel="0" collapsed="false">
      <c r="A113" s="10" t="n">
        <v>78</v>
      </c>
      <c r="B113" s="7" t="s">
        <v>845</v>
      </c>
      <c r="C113" s="7" t="s">
        <v>846</v>
      </c>
      <c r="D113" s="7" t="s">
        <v>847</v>
      </c>
      <c r="E113" s="11" t="s">
        <v>60</v>
      </c>
      <c r="F113" s="7" t="s">
        <v>61</v>
      </c>
      <c r="G113" s="7" t="s">
        <v>63</v>
      </c>
      <c r="H113" s="7" t="s">
        <v>63</v>
      </c>
      <c r="I113" s="7" t="s">
        <v>63</v>
      </c>
      <c r="J113" s="7" t="s">
        <v>848</v>
      </c>
      <c r="K113" s="7" t="s">
        <v>849</v>
      </c>
      <c r="L113" s="12" t="s">
        <v>850</v>
      </c>
      <c r="M113" s="7" t="s">
        <v>851</v>
      </c>
    </row>
    <row r="114" customFormat="false" ht="34.5" hidden="false" customHeight="true" outlineLevel="0" collapsed="false">
      <c r="A114" s="13" t="n">
        <v>78</v>
      </c>
      <c r="B114" s="7" t="s">
        <v>852</v>
      </c>
      <c r="C114" s="7" t="s">
        <v>853</v>
      </c>
      <c r="D114" s="7" t="s">
        <v>854</v>
      </c>
      <c r="E114" s="14" t="s">
        <v>210</v>
      </c>
      <c r="F114" s="7" t="s">
        <v>61</v>
      </c>
      <c r="G114" s="7" t="s">
        <v>855</v>
      </c>
      <c r="H114" s="7" t="s">
        <v>63</v>
      </c>
      <c r="I114" s="7" t="s">
        <v>825</v>
      </c>
      <c r="J114" s="7" t="s">
        <v>856</v>
      </c>
      <c r="K114" s="7" t="s">
        <v>857</v>
      </c>
      <c r="L114" s="12" t="s">
        <v>858</v>
      </c>
      <c r="M114" s="7" t="s">
        <v>859</v>
      </c>
    </row>
    <row r="115" customFormat="false" ht="34.5" hidden="false" customHeight="true" outlineLevel="0" collapsed="false">
      <c r="A115" s="13" t="n">
        <v>78</v>
      </c>
      <c r="B115" s="7" t="s">
        <v>860</v>
      </c>
      <c r="C115" s="7" t="s">
        <v>861</v>
      </c>
      <c r="D115" s="7" t="s">
        <v>227</v>
      </c>
      <c r="E115" s="14" t="s">
        <v>210</v>
      </c>
      <c r="F115" s="7" t="s">
        <v>228</v>
      </c>
      <c r="G115" s="7" t="s">
        <v>228</v>
      </c>
      <c r="H115" s="7" t="s">
        <v>228</v>
      </c>
      <c r="I115" s="7" t="s">
        <v>229</v>
      </c>
      <c r="J115" s="7" t="s">
        <v>227</v>
      </c>
      <c r="K115" s="7" t="s">
        <v>227</v>
      </c>
      <c r="L115" s="12" t="s">
        <v>862</v>
      </c>
      <c r="M115" s="7" t="s">
        <v>231</v>
      </c>
    </row>
    <row r="116" customFormat="false" ht="23.25" hidden="false" customHeight="true" outlineLevel="0" collapsed="false">
      <c r="A116" s="10" t="n">
        <v>78</v>
      </c>
      <c r="B116" s="7" t="s">
        <v>863</v>
      </c>
      <c r="C116" s="7" t="s">
        <v>864</v>
      </c>
      <c r="D116" s="7" t="s">
        <v>227</v>
      </c>
      <c r="E116" s="11" t="s">
        <v>60</v>
      </c>
      <c r="F116" s="7" t="s">
        <v>228</v>
      </c>
      <c r="G116" s="7" t="s">
        <v>228</v>
      </c>
      <c r="H116" s="7" t="s">
        <v>228</v>
      </c>
      <c r="I116" s="7" t="s">
        <v>229</v>
      </c>
      <c r="J116" s="7" t="s">
        <v>227</v>
      </c>
      <c r="K116" s="7" t="s">
        <v>227</v>
      </c>
      <c r="L116" s="12" t="s">
        <v>865</v>
      </c>
      <c r="M116" s="7" t="s">
        <v>231</v>
      </c>
    </row>
    <row r="117" customFormat="false" ht="23.25" hidden="false" customHeight="true" outlineLevel="0" collapsed="false">
      <c r="A117" s="13" t="n">
        <v>78</v>
      </c>
      <c r="B117" s="7" t="s">
        <v>866</v>
      </c>
      <c r="C117" s="7" t="s">
        <v>867</v>
      </c>
      <c r="D117" s="7" t="s">
        <v>868</v>
      </c>
      <c r="E117" s="14" t="s">
        <v>210</v>
      </c>
      <c r="F117" s="7" t="s">
        <v>61</v>
      </c>
      <c r="G117" s="7" t="s">
        <v>869</v>
      </c>
      <c r="H117" s="7" t="s">
        <v>63</v>
      </c>
      <c r="I117" s="7" t="s">
        <v>870</v>
      </c>
      <c r="J117" s="7" t="s">
        <v>871</v>
      </c>
      <c r="K117" s="7" t="s">
        <v>872</v>
      </c>
      <c r="L117" s="12" t="s">
        <v>873</v>
      </c>
      <c r="M117" s="7" t="s">
        <v>874</v>
      </c>
    </row>
    <row r="118" customFormat="false" ht="45.75" hidden="false" customHeight="true" outlineLevel="0" collapsed="false">
      <c r="A118" s="13" t="n">
        <v>77</v>
      </c>
      <c r="B118" s="7" t="s">
        <v>331</v>
      </c>
      <c r="C118" s="7" t="s">
        <v>875</v>
      </c>
      <c r="D118" s="7" t="s">
        <v>876</v>
      </c>
      <c r="E118" s="14" t="s">
        <v>210</v>
      </c>
      <c r="F118" s="7" t="s">
        <v>61</v>
      </c>
      <c r="G118" s="7" t="s">
        <v>176</v>
      </c>
      <c r="H118" s="7" t="s">
        <v>724</v>
      </c>
      <c r="I118" s="7" t="s">
        <v>63</v>
      </c>
      <c r="J118" s="7" t="s">
        <v>877</v>
      </c>
      <c r="K118" s="7" t="s">
        <v>878</v>
      </c>
      <c r="L118" s="12" t="s">
        <v>879</v>
      </c>
      <c r="M118" s="7" t="s">
        <v>880</v>
      </c>
    </row>
    <row r="119" customFormat="false" ht="34.5" hidden="false" customHeight="true" outlineLevel="0" collapsed="false">
      <c r="A119" s="10" t="n">
        <v>77</v>
      </c>
      <c r="B119" s="7" t="s">
        <v>881</v>
      </c>
      <c r="C119" s="7" t="s">
        <v>882</v>
      </c>
      <c r="D119" s="7" t="s">
        <v>91</v>
      </c>
      <c r="E119" s="11" t="s">
        <v>60</v>
      </c>
      <c r="F119" s="7" t="s">
        <v>72</v>
      </c>
      <c r="G119" s="7" t="s">
        <v>73</v>
      </c>
      <c r="H119" s="7" t="s">
        <v>236</v>
      </c>
      <c r="I119" s="7" t="s">
        <v>75</v>
      </c>
      <c r="J119" s="7" t="s">
        <v>883</v>
      </c>
      <c r="K119" s="7" t="s">
        <v>884</v>
      </c>
      <c r="L119" s="12" t="s">
        <v>885</v>
      </c>
      <c r="M119" s="7" t="s">
        <v>886</v>
      </c>
    </row>
    <row r="120" customFormat="false" ht="45.75" hidden="false" customHeight="true" outlineLevel="0" collapsed="false">
      <c r="A120" s="13" t="n">
        <v>77</v>
      </c>
      <c r="B120" s="7" t="s">
        <v>427</v>
      </c>
      <c r="C120" s="7" t="s">
        <v>887</v>
      </c>
      <c r="D120" s="7" t="s">
        <v>888</v>
      </c>
      <c r="E120" s="14" t="s">
        <v>210</v>
      </c>
      <c r="F120" s="7" t="s">
        <v>61</v>
      </c>
      <c r="G120" s="7" t="s">
        <v>63</v>
      </c>
      <c r="H120" s="7" t="s">
        <v>889</v>
      </c>
      <c r="I120" s="7" t="s">
        <v>422</v>
      </c>
      <c r="J120" s="7" t="s">
        <v>890</v>
      </c>
      <c r="K120" s="7" t="s">
        <v>891</v>
      </c>
      <c r="L120" s="12" t="s">
        <v>892</v>
      </c>
      <c r="M120" s="7" t="s">
        <v>893</v>
      </c>
    </row>
    <row r="121" customFormat="false" ht="45.75" hidden="false" customHeight="true" outlineLevel="0" collapsed="false">
      <c r="A121" s="10" t="n">
        <v>77</v>
      </c>
      <c r="B121" s="7" t="s">
        <v>894</v>
      </c>
      <c r="C121" s="7" t="s">
        <v>895</v>
      </c>
      <c r="D121" s="7" t="s">
        <v>896</v>
      </c>
      <c r="E121" s="11" t="s">
        <v>60</v>
      </c>
      <c r="F121" s="7" t="s">
        <v>61</v>
      </c>
      <c r="G121" s="7" t="s">
        <v>63</v>
      </c>
      <c r="H121" s="7" t="s">
        <v>63</v>
      </c>
      <c r="I121" s="7" t="s">
        <v>63</v>
      </c>
      <c r="J121" s="7" t="s">
        <v>897</v>
      </c>
      <c r="K121" s="7" t="s">
        <v>898</v>
      </c>
      <c r="L121" s="12" t="s">
        <v>899</v>
      </c>
      <c r="M121" s="7" t="s">
        <v>900</v>
      </c>
    </row>
    <row r="122" customFormat="false" ht="45.75" hidden="false" customHeight="true" outlineLevel="0" collapsed="false">
      <c r="A122" s="10" t="n">
        <v>77</v>
      </c>
      <c r="B122" s="7" t="s">
        <v>901</v>
      </c>
      <c r="C122" s="7" t="s">
        <v>902</v>
      </c>
      <c r="D122" s="7" t="s">
        <v>903</v>
      </c>
      <c r="E122" s="11" t="s">
        <v>60</v>
      </c>
      <c r="F122" s="7" t="s">
        <v>72</v>
      </c>
      <c r="G122" s="7" t="s">
        <v>63</v>
      </c>
      <c r="H122" s="7" t="s">
        <v>63</v>
      </c>
      <c r="I122" s="7" t="s">
        <v>63</v>
      </c>
      <c r="J122" s="7" t="s">
        <v>904</v>
      </c>
      <c r="K122" s="7" t="s">
        <v>905</v>
      </c>
      <c r="L122" s="12" t="s">
        <v>906</v>
      </c>
      <c r="M122" s="7" t="s">
        <v>907</v>
      </c>
    </row>
    <row r="123" customFormat="false" ht="45.75" hidden="false" customHeight="true" outlineLevel="0" collapsed="false">
      <c r="A123" s="13" t="n">
        <v>77</v>
      </c>
      <c r="B123" s="7" t="s">
        <v>908</v>
      </c>
      <c r="C123" s="7" t="s">
        <v>909</v>
      </c>
      <c r="D123" s="7" t="s">
        <v>910</v>
      </c>
      <c r="E123" s="14" t="s">
        <v>210</v>
      </c>
      <c r="F123" s="7" t="s">
        <v>61</v>
      </c>
      <c r="G123" s="7" t="s">
        <v>911</v>
      </c>
      <c r="H123" s="7" t="s">
        <v>912</v>
      </c>
      <c r="I123" s="7" t="s">
        <v>913</v>
      </c>
      <c r="J123" s="7" t="s">
        <v>914</v>
      </c>
      <c r="K123" s="7" t="s">
        <v>915</v>
      </c>
      <c r="L123" s="12" t="s">
        <v>916</v>
      </c>
      <c r="M123" s="7" t="s">
        <v>917</v>
      </c>
    </row>
    <row r="124" customFormat="false" ht="57" hidden="false" customHeight="true" outlineLevel="0" collapsed="false">
      <c r="A124" s="13" t="n">
        <v>77</v>
      </c>
      <c r="B124" s="7" t="s">
        <v>918</v>
      </c>
      <c r="C124" s="7" t="s">
        <v>919</v>
      </c>
      <c r="D124" s="7" t="s">
        <v>920</v>
      </c>
      <c r="E124" s="14" t="s">
        <v>210</v>
      </c>
      <c r="F124" s="7" t="s">
        <v>61</v>
      </c>
      <c r="G124" s="7" t="s">
        <v>921</v>
      </c>
      <c r="H124" s="7" t="s">
        <v>63</v>
      </c>
      <c r="I124" s="7" t="s">
        <v>63</v>
      </c>
      <c r="J124" s="7" t="s">
        <v>922</v>
      </c>
      <c r="K124" s="7" t="s">
        <v>923</v>
      </c>
      <c r="L124" s="12" t="s">
        <v>924</v>
      </c>
      <c r="M124" s="7" t="s">
        <v>925</v>
      </c>
    </row>
    <row r="125" customFormat="false" ht="23.25" hidden="false" customHeight="true" outlineLevel="0" collapsed="false">
      <c r="A125" s="13" t="n">
        <v>77</v>
      </c>
      <c r="B125" s="7" t="s">
        <v>926</v>
      </c>
      <c r="C125" s="7" t="s">
        <v>927</v>
      </c>
      <c r="D125" s="7" t="s">
        <v>928</v>
      </c>
      <c r="E125" s="14" t="s">
        <v>210</v>
      </c>
      <c r="F125" s="7" t="s">
        <v>61</v>
      </c>
      <c r="G125" s="7" t="s">
        <v>929</v>
      </c>
      <c r="H125" s="7" t="s">
        <v>63</v>
      </c>
      <c r="I125" s="7" t="s">
        <v>63</v>
      </c>
      <c r="J125" s="7" t="s">
        <v>930</v>
      </c>
      <c r="K125" s="7" t="s">
        <v>931</v>
      </c>
      <c r="L125" s="12" t="s">
        <v>932</v>
      </c>
      <c r="M125" s="7" t="s">
        <v>933</v>
      </c>
    </row>
    <row r="126" customFormat="false" ht="34.5" hidden="false" customHeight="true" outlineLevel="0" collapsed="false">
      <c r="A126" s="13" t="n">
        <v>77</v>
      </c>
      <c r="B126" s="7" t="s">
        <v>934</v>
      </c>
      <c r="C126" s="7" t="s">
        <v>935</v>
      </c>
      <c r="D126" s="7" t="s">
        <v>936</v>
      </c>
      <c r="E126" s="14" t="s">
        <v>210</v>
      </c>
      <c r="F126" s="7" t="s">
        <v>61</v>
      </c>
      <c r="G126" s="7" t="s">
        <v>937</v>
      </c>
      <c r="H126" s="7" t="s">
        <v>351</v>
      </c>
      <c r="I126" s="7" t="s">
        <v>938</v>
      </c>
      <c r="J126" s="7" t="s">
        <v>939</v>
      </c>
      <c r="K126" s="7" t="s">
        <v>354</v>
      </c>
      <c r="L126" s="12" t="s">
        <v>940</v>
      </c>
      <c r="M126" s="7" t="s">
        <v>356</v>
      </c>
    </row>
    <row r="127" customFormat="false" ht="34.5" hidden="false" customHeight="true" outlineLevel="0" collapsed="false">
      <c r="A127" s="13" t="n">
        <v>77</v>
      </c>
      <c r="B127" s="7" t="s">
        <v>941</v>
      </c>
      <c r="C127" s="7" t="s">
        <v>942</v>
      </c>
      <c r="D127" s="7" t="s">
        <v>943</v>
      </c>
      <c r="E127" s="14" t="s">
        <v>210</v>
      </c>
      <c r="F127" s="7" t="s">
        <v>61</v>
      </c>
      <c r="G127" s="7" t="s">
        <v>937</v>
      </c>
      <c r="H127" s="7" t="s">
        <v>351</v>
      </c>
      <c r="I127" s="7" t="s">
        <v>944</v>
      </c>
      <c r="J127" s="7" t="s">
        <v>945</v>
      </c>
      <c r="K127" s="7" t="s">
        <v>354</v>
      </c>
      <c r="L127" s="12" t="s">
        <v>946</v>
      </c>
      <c r="M127" s="7" t="s">
        <v>356</v>
      </c>
    </row>
    <row r="128" customFormat="false" ht="34.5" hidden="false" customHeight="true" outlineLevel="0" collapsed="false">
      <c r="A128" s="13" t="n">
        <v>77</v>
      </c>
      <c r="B128" s="7" t="s">
        <v>947</v>
      </c>
      <c r="C128" s="7" t="s">
        <v>948</v>
      </c>
      <c r="D128" s="7" t="s">
        <v>949</v>
      </c>
      <c r="E128" s="14" t="s">
        <v>210</v>
      </c>
      <c r="F128" s="7" t="s">
        <v>61</v>
      </c>
      <c r="G128" s="7" t="s">
        <v>350</v>
      </c>
      <c r="H128" s="7" t="s">
        <v>351</v>
      </c>
      <c r="I128" s="7" t="s">
        <v>352</v>
      </c>
      <c r="J128" s="7" t="s">
        <v>950</v>
      </c>
      <c r="K128" s="7" t="s">
        <v>354</v>
      </c>
      <c r="L128" s="12" t="s">
        <v>951</v>
      </c>
      <c r="M128" s="7" t="s">
        <v>356</v>
      </c>
    </row>
    <row r="129" customFormat="false" ht="34.5" hidden="false" customHeight="true" outlineLevel="0" collapsed="false">
      <c r="A129" s="13" t="n">
        <v>77</v>
      </c>
      <c r="B129" s="7" t="s">
        <v>952</v>
      </c>
      <c r="C129" s="7" t="s">
        <v>953</v>
      </c>
      <c r="D129" s="7" t="s">
        <v>954</v>
      </c>
      <c r="E129" s="14" t="s">
        <v>210</v>
      </c>
      <c r="F129" s="7" t="s">
        <v>61</v>
      </c>
      <c r="G129" s="7" t="s">
        <v>350</v>
      </c>
      <c r="H129" s="7" t="s">
        <v>351</v>
      </c>
      <c r="I129" s="7" t="s">
        <v>352</v>
      </c>
      <c r="J129" s="7" t="s">
        <v>461</v>
      </c>
      <c r="K129" s="7" t="s">
        <v>354</v>
      </c>
      <c r="L129" s="12" t="s">
        <v>955</v>
      </c>
      <c r="M129" s="7" t="s">
        <v>356</v>
      </c>
    </row>
    <row r="130" customFormat="false" ht="34.5" hidden="false" customHeight="true" outlineLevel="0" collapsed="false">
      <c r="A130" s="13" t="n">
        <v>77</v>
      </c>
      <c r="B130" s="7" t="s">
        <v>956</v>
      </c>
      <c r="C130" s="7" t="s">
        <v>957</v>
      </c>
      <c r="D130" s="7" t="s">
        <v>958</v>
      </c>
      <c r="E130" s="14" t="s">
        <v>210</v>
      </c>
      <c r="F130" s="7" t="s">
        <v>61</v>
      </c>
      <c r="G130" s="7" t="s">
        <v>350</v>
      </c>
      <c r="H130" s="7" t="s">
        <v>351</v>
      </c>
      <c r="I130" s="7" t="s">
        <v>352</v>
      </c>
      <c r="J130" s="7" t="s">
        <v>461</v>
      </c>
      <c r="K130" s="7" t="s">
        <v>354</v>
      </c>
      <c r="L130" s="12" t="s">
        <v>959</v>
      </c>
      <c r="M130" s="7" t="s">
        <v>356</v>
      </c>
    </row>
    <row r="131" customFormat="false" ht="23.25" hidden="false" customHeight="true" outlineLevel="0" collapsed="false">
      <c r="A131" s="13" t="n">
        <v>77</v>
      </c>
      <c r="B131" s="7" t="s">
        <v>960</v>
      </c>
      <c r="C131" s="7" t="s">
        <v>961</v>
      </c>
      <c r="D131" s="7" t="s">
        <v>958</v>
      </c>
      <c r="E131" s="14" t="s">
        <v>210</v>
      </c>
      <c r="F131" s="7" t="s">
        <v>61</v>
      </c>
      <c r="G131" s="7" t="s">
        <v>350</v>
      </c>
      <c r="H131" s="7" t="s">
        <v>351</v>
      </c>
      <c r="I131" s="7" t="s">
        <v>352</v>
      </c>
      <c r="J131" s="7" t="s">
        <v>461</v>
      </c>
      <c r="K131" s="7" t="s">
        <v>354</v>
      </c>
      <c r="L131" s="12" t="s">
        <v>962</v>
      </c>
      <c r="M131" s="7" t="s">
        <v>356</v>
      </c>
    </row>
    <row r="132" customFormat="false" ht="23.25" hidden="false" customHeight="true" outlineLevel="0" collapsed="false">
      <c r="A132" s="10" t="n">
        <v>77</v>
      </c>
      <c r="B132" s="7" t="s">
        <v>963</v>
      </c>
      <c r="C132" s="7" t="s">
        <v>964</v>
      </c>
      <c r="D132" s="7" t="s">
        <v>965</v>
      </c>
      <c r="E132" s="11" t="s">
        <v>60</v>
      </c>
      <c r="F132" s="7" t="s">
        <v>61</v>
      </c>
      <c r="G132" s="7" t="s">
        <v>966</v>
      </c>
      <c r="H132" s="7" t="s">
        <v>967</v>
      </c>
      <c r="I132" s="7" t="s">
        <v>705</v>
      </c>
      <c r="J132" s="7" t="s">
        <v>968</v>
      </c>
      <c r="K132" s="7" t="s">
        <v>969</v>
      </c>
      <c r="L132" s="12" t="s">
        <v>970</v>
      </c>
      <c r="M132" s="7" t="s">
        <v>971</v>
      </c>
    </row>
    <row r="133" customFormat="false" ht="23.25" hidden="false" customHeight="true" outlineLevel="0" collapsed="false">
      <c r="A133" s="13" t="n">
        <v>76</v>
      </c>
      <c r="B133" s="7" t="s">
        <v>972</v>
      </c>
      <c r="C133" s="7" t="s">
        <v>973</v>
      </c>
      <c r="D133" s="7" t="s">
        <v>974</v>
      </c>
      <c r="E133" s="14" t="s">
        <v>210</v>
      </c>
      <c r="F133" s="7" t="s">
        <v>61</v>
      </c>
      <c r="G133" s="7" t="s">
        <v>975</v>
      </c>
      <c r="H133" s="7" t="s">
        <v>63</v>
      </c>
      <c r="I133" s="7" t="s">
        <v>63</v>
      </c>
      <c r="J133" s="7" t="s">
        <v>976</v>
      </c>
      <c r="K133" s="7" t="s">
        <v>977</v>
      </c>
      <c r="L133" s="12" t="s">
        <v>978</v>
      </c>
      <c r="M133" s="7" t="s">
        <v>979</v>
      </c>
    </row>
    <row r="134" customFormat="false" ht="23.25" hidden="false" customHeight="true" outlineLevel="0" collapsed="false">
      <c r="A134" s="13" t="n">
        <v>76</v>
      </c>
      <c r="B134" s="7" t="s">
        <v>980</v>
      </c>
      <c r="C134" s="7" t="s">
        <v>981</v>
      </c>
      <c r="D134" s="7" t="s">
        <v>982</v>
      </c>
      <c r="E134" s="14" t="s">
        <v>210</v>
      </c>
      <c r="F134" s="7" t="s">
        <v>109</v>
      </c>
      <c r="G134" s="7" t="s">
        <v>983</v>
      </c>
      <c r="H134" s="7" t="s">
        <v>984</v>
      </c>
      <c r="I134" s="7" t="s">
        <v>985</v>
      </c>
      <c r="J134" s="7" t="s">
        <v>986</v>
      </c>
      <c r="K134" s="7" t="s">
        <v>987</v>
      </c>
      <c r="L134" s="12" t="s">
        <v>988</v>
      </c>
      <c r="M134" s="7" t="s">
        <v>989</v>
      </c>
    </row>
    <row r="135" customFormat="false" ht="23.25" hidden="false" customHeight="true" outlineLevel="0" collapsed="false">
      <c r="A135" s="13" t="n">
        <v>76</v>
      </c>
      <c r="B135" s="7" t="s">
        <v>990</v>
      </c>
      <c r="C135" s="7" t="s">
        <v>991</v>
      </c>
      <c r="D135" s="7" t="s">
        <v>992</v>
      </c>
      <c r="E135" s="14" t="s">
        <v>210</v>
      </c>
      <c r="F135" s="7" t="s">
        <v>61</v>
      </c>
      <c r="G135" s="7" t="s">
        <v>993</v>
      </c>
      <c r="H135" s="7" t="s">
        <v>994</v>
      </c>
      <c r="I135" s="7" t="s">
        <v>63</v>
      </c>
      <c r="J135" s="7" t="s">
        <v>995</v>
      </c>
      <c r="K135" s="7" t="s">
        <v>996</v>
      </c>
      <c r="L135" s="12" t="s">
        <v>997</v>
      </c>
      <c r="M135" s="7" t="s">
        <v>998</v>
      </c>
    </row>
    <row r="136" customFormat="false" ht="34.5" hidden="false" customHeight="true" outlineLevel="0" collapsed="false">
      <c r="A136" s="13" t="n">
        <v>76</v>
      </c>
      <c r="B136" s="7" t="s">
        <v>999</v>
      </c>
      <c r="C136" s="7" t="s">
        <v>1000</v>
      </c>
      <c r="D136" s="7" t="s">
        <v>1001</v>
      </c>
      <c r="E136" s="14" t="s">
        <v>210</v>
      </c>
      <c r="F136" s="7" t="s">
        <v>61</v>
      </c>
      <c r="G136" s="7" t="s">
        <v>1002</v>
      </c>
      <c r="H136" s="7" t="s">
        <v>1003</v>
      </c>
      <c r="I136" s="7" t="s">
        <v>1004</v>
      </c>
      <c r="J136" s="7" t="s">
        <v>1005</v>
      </c>
      <c r="K136" s="7" t="s">
        <v>1006</v>
      </c>
      <c r="L136" s="12" t="s">
        <v>1007</v>
      </c>
      <c r="M136" s="7" t="s">
        <v>1008</v>
      </c>
    </row>
    <row r="137" customFormat="false" ht="23.25" hidden="false" customHeight="true" outlineLevel="0" collapsed="false">
      <c r="A137" s="10" t="n">
        <v>76</v>
      </c>
      <c r="B137" s="7" t="s">
        <v>1009</v>
      </c>
      <c r="C137" s="7" t="s">
        <v>1010</v>
      </c>
      <c r="D137" s="7" t="s">
        <v>1011</v>
      </c>
      <c r="E137" s="11" t="s">
        <v>60</v>
      </c>
      <c r="F137" s="7" t="s">
        <v>61</v>
      </c>
      <c r="G137" s="7" t="s">
        <v>63</v>
      </c>
      <c r="H137" s="7" t="s">
        <v>63</v>
      </c>
      <c r="I137" s="7" t="s">
        <v>641</v>
      </c>
      <c r="J137" s="7" t="s">
        <v>1012</v>
      </c>
      <c r="K137" s="7" t="s">
        <v>1013</v>
      </c>
      <c r="L137" s="12" t="s">
        <v>1014</v>
      </c>
      <c r="M137" s="7" t="s">
        <v>1015</v>
      </c>
    </row>
    <row r="138" customFormat="false" ht="34.5" hidden="false" customHeight="true" outlineLevel="0" collapsed="false">
      <c r="A138" s="10" t="n">
        <v>76</v>
      </c>
      <c r="B138" s="7" t="s">
        <v>1016</v>
      </c>
      <c r="C138" s="7" t="s">
        <v>1017</v>
      </c>
      <c r="D138" s="7" t="s">
        <v>1018</v>
      </c>
      <c r="E138" s="11" t="s">
        <v>60</v>
      </c>
      <c r="F138" s="7" t="s">
        <v>61</v>
      </c>
      <c r="G138" s="7" t="s">
        <v>1019</v>
      </c>
      <c r="H138" s="7" t="s">
        <v>63</v>
      </c>
      <c r="I138" s="7" t="s">
        <v>84</v>
      </c>
      <c r="J138" s="7" t="s">
        <v>1020</v>
      </c>
      <c r="K138" s="7" t="s">
        <v>1021</v>
      </c>
      <c r="L138" s="12" t="s">
        <v>1022</v>
      </c>
      <c r="M138" s="7" t="s">
        <v>1023</v>
      </c>
    </row>
    <row r="139" customFormat="false" ht="34.5" hidden="false" customHeight="true" outlineLevel="0" collapsed="false">
      <c r="A139" s="13" t="n">
        <v>76</v>
      </c>
      <c r="B139" s="7" t="s">
        <v>1024</v>
      </c>
      <c r="C139" s="7" t="s">
        <v>1025</v>
      </c>
      <c r="D139" s="7" t="s">
        <v>1026</v>
      </c>
      <c r="E139" s="14" t="s">
        <v>210</v>
      </c>
      <c r="F139" s="7" t="s">
        <v>61</v>
      </c>
      <c r="G139" s="7" t="s">
        <v>1027</v>
      </c>
      <c r="H139" s="7" t="s">
        <v>63</v>
      </c>
      <c r="I139" s="7" t="s">
        <v>63</v>
      </c>
      <c r="J139" s="7" t="s">
        <v>1028</v>
      </c>
      <c r="K139" s="7" t="s">
        <v>1029</v>
      </c>
      <c r="L139" s="12" t="s">
        <v>1030</v>
      </c>
      <c r="M139" s="7" t="s">
        <v>1031</v>
      </c>
    </row>
    <row r="140" customFormat="false" ht="45.75" hidden="false" customHeight="true" outlineLevel="0" collapsed="false">
      <c r="A140" s="13" t="n">
        <v>76</v>
      </c>
      <c r="B140" s="7" t="s">
        <v>1032</v>
      </c>
      <c r="C140" s="7" t="s">
        <v>1033</v>
      </c>
      <c r="D140" s="7" t="s">
        <v>1034</v>
      </c>
      <c r="E140" s="14" t="s">
        <v>210</v>
      </c>
      <c r="F140" s="7" t="s">
        <v>61</v>
      </c>
      <c r="G140" s="7" t="s">
        <v>63</v>
      </c>
      <c r="H140" s="7" t="s">
        <v>1035</v>
      </c>
      <c r="I140" s="7" t="s">
        <v>1036</v>
      </c>
      <c r="J140" s="7" t="s">
        <v>1037</v>
      </c>
      <c r="K140" s="7" t="s">
        <v>1038</v>
      </c>
      <c r="L140" s="12" t="s">
        <v>1039</v>
      </c>
      <c r="M140" s="7" t="s">
        <v>1040</v>
      </c>
    </row>
    <row r="141" customFormat="false" ht="34.5" hidden="false" customHeight="true" outlineLevel="0" collapsed="false">
      <c r="A141" s="10" t="n">
        <v>76</v>
      </c>
      <c r="B141" s="7" t="s">
        <v>1041</v>
      </c>
      <c r="C141" s="7" t="s">
        <v>1042</v>
      </c>
      <c r="D141" s="7" t="s">
        <v>1043</v>
      </c>
      <c r="E141" s="11" t="s">
        <v>60</v>
      </c>
      <c r="F141" s="7" t="s">
        <v>61</v>
      </c>
      <c r="G141" s="7" t="s">
        <v>1044</v>
      </c>
      <c r="H141" s="7" t="s">
        <v>63</v>
      </c>
      <c r="I141" s="7" t="s">
        <v>63</v>
      </c>
      <c r="J141" s="7" t="s">
        <v>1045</v>
      </c>
      <c r="K141" s="7" t="s">
        <v>1046</v>
      </c>
      <c r="L141" s="12" t="s">
        <v>1047</v>
      </c>
      <c r="M141" s="7" t="s">
        <v>1048</v>
      </c>
    </row>
    <row r="142" customFormat="false" ht="23.25" hidden="false" customHeight="true" outlineLevel="0" collapsed="false">
      <c r="A142" s="10" t="n">
        <v>76</v>
      </c>
      <c r="B142" s="7" t="s">
        <v>1049</v>
      </c>
      <c r="C142" s="7" t="s">
        <v>1050</v>
      </c>
      <c r="D142" s="7" t="s">
        <v>227</v>
      </c>
      <c r="E142" s="11" t="s">
        <v>60</v>
      </c>
      <c r="F142" s="7" t="s">
        <v>228</v>
      </c>
      <c r="G142" s="7" t="s">
        <v>228</v>
      </c>
      <c r="H142" s="7" t="s">
        <v>228</v>
      </c>
      <c r="I142" s="7" t="s">
        <v>229</v>
      </c>
      <c r="J142" s="7" t="s">
        <v>227</v>
      </c>
      <c r="K142" s="7" t="s">
        <v>227</v>
      </c>
      <c r="L142" s="12" t="s">
        <v>1051</v>
      </c>
      <c r="M142" s="7" t="s">
        <v>231</v>
      </c>
    </row>
    <row r="143" customFormat="false" ht="23.25" hidden="false" customHeight="true" outlineLevel="0" collapsed="false">
      <c r="A143" s="15" t="n">
        <v>76</v>
      </c>
      <c r="B143" s="7" t="s">
        <v>1052</v>
      </c>
      <c r="C143" s="7" t="s">
        <v>1053</v>
      </c>
      <c r="D143" s="7" t="s">
        <v>227</v>
      </c>
      <c r="E143" s="16" t="s">
        <v>333</v>
      </c>
      <c r="F143" s="7" t="s">
        <v>228</v>
      </c>
      <c r="G143" s="7" t="s">
        <v>228</v>
      </c>
      <c r="H143" s="7" t="s">
        <v>228</v>
      </c>
      <c r="I143" s="7" t="s">
        <v>229</v>
      </c>
      <c r="J143" s="7" t="s">
        <v>227</v>
      </c>
      <c r="K143" s="7" t="s">
        <v>227</v>
      </c>
      <c r="L143" s="12" t="s">
        <v>1054</v>
      </c>
      <c r="M143" s="7" t="s">
        <v>231</v>
      </c>
    </row>
    <row r="144" customFormat="false" ht="34.5" hidden="false" customHeight="true" outlineLevel="0" collapsed="false">
      <c r="A144" s="10" t="n">
        <v>76</v>
      </c>
      <c r="B144" s="7" t="s">
        <v>1055</v>
      </c>
      <c r="C144" s="7" t="s">
        <v>1056</v>
      </c>
      <c r="D144" s="7" t="s">
        <v>168</v>
      </c>
      <c r="E144" s="11" t="s">
        <v>60</v>
      </c>
      <c r="F144" s="7" t="s">
        <v>109</v>
      </c>
      <c r="G144" s="7" t="s">
        <v>63</v>
      </c>
      <c r="H144" s="7" t="s">
        <v>63</v>
      </c>
      <c r="I144" s="7" t="s">
        <v>1057</v>
      </c>
      <c r="J144" s="7" t="s">
        <v>1058</v>
      </c>
      <c r="K144" s="7" t="s">
        <v>1059</v>
      </c>
      <c r="L144" s="12" t="s">
        <v>1060</v>
      </c>
      <c r="M144" s="7" t="s">
        <v>1061</v>
      </c>
    </row>
    <row r="145" customFormat="false" ht="34.5" hidden="false" customHeight="true" outlineLevel="0" collapsed="false">
      <c r="A145" s="13" t="n">
        <v>76</v>
      </c>
      <c r="B145" s="7" t="s">
        <v>1062</v>
      </c>
      <c r="C145" s="7" t="s">
        <v>1063</v>
      </c>
      <c r="D145" s="7" t="s">
        <v>1064</v>
      </c>
      <c r="E145" s="14" t="s">
        <v>210</v>
      </c>
      <c r="F145" s="7" t="s">
        <v>61</v>
      </c>
      <c r="G145" s="7" t="s">
        <v>1065</v>
      </c>
      <c r="H145" s="7" t="s">
        <v>63</v>
      </c>
      <c r="I145" s="7" t="s">
        <v>63</v>
      </c>
      <c r="J145" s="7" t="s">
        <v>1066</v>
      </c>
      <c r="K145" s="7" t="s">
        <v>1067</v>
      </c>
      <c r="L145" s="12" t="s">
        <v>1068</v>
      </c>
      <c r="M145" s="7" t="s">
        <v>1069</v>
      </c>
    </row>
    <row r="146" customFormat="false" ht="23.25" hidden="false" customHeight="true" outlineLevel="0" collapsed="false">
      <c r="A146" s="13" t="n">
        <v>75</v>
      </c>
      <c r="B146" s="7" t="s">
        <v>1070</v>
      </c>
      <c r="C146" s="7" t="s">
        <v>1071</v>
      </c>
      <c r="D146" s="7" t="s">
        <v>1072</v>
      </c>
      <c r="E146" s="14" t="s">
        <v>210</v>
      </c>
      <c r="F146" s="7" t="s">
        <v>61</v>
      </c>
      <c r="G146" s="7" t="s">
        <v>1073</v>
      </c>
      <c r="H146" s="7" t="s">
        <v>63</v>
      </c>
      <c r="I146" s="7" t="s">
        <v>229</v>
      </c>
      <c r="J146" s="7" t="s">
        <v>1074</v>
      </c>
      <c r="K146" s="7" t="s">
        <v>1075</v>
      </c>
      <c r="L146" s="12" t="s">
        <v>1076</v>
      </c>
      <c r="M146" s="7" t="s">
        <v>1077</v>
      </c>
    </row>
    <row r="147" customFormat="false" ht="34.5" hidden="false" customHeight="true" outlineLevel="0" collapsed="false">
      <c r="A147" s="13" t="n">
        <v>75</v>
      </c>
      <c r="B147" s="7" t="s">
        <v>1078</v>
      </c>
      <c r="C147" s="7" t="s">
        <v>1079</v>
      </c>
      <c r="D147" s="7" t="s">
        <v>1080</v>
      </c>
      <c r="E147" s="14" t="s">
        <v>210</v>
      </c>
      <c r="F147" s="7" t="s">
        <v>109</v>
      </c>
      <c r="G147" s="7" t="s">
        <v>1081</v>
      </c>
      <c r="H147" s="7" t="s">
        <v>63</v>
      </c>
      <c r="I147" s="7" t="s">
        <v>768</v>
      </c>
      <c r="J147" s="7" t="s">
        <v>1082</v>
      </c>
      <c r="K147" s="7" t="s">
        <v>1083</v>
      </c>
      <c r="L147" s="12" t="s">
        <v>1084</v>
      </c>
      <c r="M147" s="7" t="s">
        <v>1085</v>
      </c>
    </row>
    <row r="148" customFormat="false" ht="34.5" hidden="false" customHeight="true" outlineLevel="0" collapsed="false">
      <c r="A148" s="13" t="n">
        <v>75</v>
      </c>
      <c r="B148" s="7" t="s">
        <v>1086</v>
      </c>
      <c r="C148" s="7" t="s">
        <v>1087</v>
      </c>
      <c r="D148" s="7" t="s">
        <v>1088</v>
      </c>
      <c r="E148" s="14" t="s">
        <v>210</v>
      </c>
      <c r="F148" s="7" t="s">
        <v>72</v>
      </c>
      <c r="G148" s="7" t="s">
        <v>73</v>
      </c>
      <c r="H148" s="7" t="s">
        <v>63</v>
      </c>
      <c r="I148" s="7" t="s">
        <v>1089</v>
      </c>
      <c r="J148" s="7" t="s">
        <v>1090</v>
      </c>
      <c r="K148" s="7" t="s">
        <v>1091</v>
      </c>
      <c r="L148" s="12" t="s">
        <v>1092</v>
      </c>
      <c r="M148" s="7" t="s">
        <v>1093</v>
      </c>
    </row>
    <row r="149" customFormat="false" ht="34.5" hidden="false" customHeight="true" outlineLevel="0" collapsed="false">
      <c r="A149" s="13" t="n">
        <v>75</v>
      </c>
      <c r="B149" s="7" t="s">
        <v>1094</v>
      </c>
      <c r="C149" s="7" t="s">
        <v>1095</v>
      </c>
      <c r="D149" s="7" t="s">
        <v>1096</v>
      </c>
      <c r="E149" s="14" t="s">
        <v>210</v>
      </c>
      <c r="F149" s="7" t="s">
        <v>109</v>
      </c>
      <c r="G149" s="7" t="s">
        <v>73</v>
      </c>
      <c r="H149" s="7" t="s">
        <v>1097</v>
      </c>
      <c r="I149" s="7" t="s">
        <v>508</v>
      </c>
      <c r="J149" s="7" t="s">
        <v>1098</v>
      </c>
      <c r="K149" s="7" t="s">
        <v>1099</v>
      </c>
      <c r="L149" s="12" t="s">
        <v>1100</v>
      </c>
      <c r="M149" s="7" t="s">
        <v>1101</v>
      </c>
    </row>
    <row r="150" customFormat="false" ht="23.25" hidden="false" customHeight="true" outlineLevel="0" collapsed="false">
      <c r="A150" s="13" t="n">
        <v>75</v>
      </c>
      <c r="B150" s="7" t="s">
        <v>1102</v>
      </c>
      <c r="C150" s="7" t="s">
        <v>1103</v>
      </c>
      <c r="D150" s="7" t="s">
        <v>1104</v>
      </c>
      <c r="E150" s="14" t="s">
        <v>210</v>
      </c>
      <c r="F150" s="7" t="s">
        <v>61</v>
      </c>
      <c r="G150" s="7" t="s">
        <v>1105</v>
      </c>
      <c r="H150" s="7" t="s">
        <v>1106</v>
      </c>
      <c r="I150" s="7" t="s">
        <v>1107</v>
      </c>
      <c r="J150" s="7" t="s">
        <v>1108</v>
      </c>
      <c r="K150" s="7" t="s">
        <v>1109</v>
      </c>
      <c r="L150" s="12" t="s">
        <v>1110</v>
      </c>
      <c r="M150" s="7" t="s">
        <v>1111</v>
      </c>
    </row>
    <row r="151" customFormat="false" ht="23.25" hidden="false" customHeight="true" outlineLevel="0" collapsed="false">
      <c r="A151" s="13" t="n">
        <v>75</v>
      </c>
      <c r="B151" s="7" t="s">
        <v>417</v>
      </c>
      <c r="C151" s="7" t="s">
        <v>1112</v>
      </c>
      <c r="D151" s="7" t="s">
        <v>1113</v>
      </c>
      <c r="E151" s="14" t="s">
        <v>210</v>
      </c>
      <c r="F151" s="7" t="s">
        <v>61</v>
      </c>
      <c r="G151" s="7" t="s">
        <v>63</v>
      </c>
      <c r="H151" s="7" t="s">
        <v>1114</v>
      </c>
      <c r="I151" s="7" t="s">
        <v>1115</v>
      </c>
      <c r="J151" s="7" t="s">
        <v>1116</v>
      </c>
      <c r="K151" s="7" t="s">
        <v>1117</v>
      </c>
      <c r="L151" s="12" t="s">
        <v>1118</v>
      </c>
      <c r="M151" s="7" t="s">
        <v>1119</v>
      </c>
    </row>
    <row r="152" customFormat="false" ht="23.25" hidden="false" customHeight="true" outlineLevel="0" collapsed="false">
      <c r="A152" s="15" t="n">
        <v>75</v>
      </c>
      <c r="B152" s="7" t="s">
        <v>331</v>
      </c>
      <c r="C152" s="7" t="s">
        <v>1120</v>
      </c>
      <c r="D152" s="7" t="s">
        <v>910</v>
      </c>
      <c r="E152" s="16" t="s">
        <v>333</v>
      </c>
      <c r="F152" s="7" t="s">
        <v>63</v>
      </c>
      <c r="G152" s="7" t="s">
        <v>63</v>
      </c>
      <c r="H152" s="7" t="s">
        <v>1121</v>
      </c>
      <c r="I152" s="7" t="s">
        <v>285</v>
      </c>
      <c r="J152" s="7" t="s">
        <v>1122</v>
      </c>
      <c r="K152" s="7" t="s">
        <v>1123</v>
      </c>
      <c r="L152" s="12" t="s">
        <v>1124</v>
      </c>
      <c r="M152" s="7" t="s">
        <v>1125</v>
      </c>
    </row>
    <row r="153" customFormat="false" ht="23.25" hidden="false" customHeight="true" outlineLevel="0" collapsed="false">
      <c r="A153" s="10" t="n">
        <v>75</v>
      </c>
      <c r="B153" s="7" t="s">
        <v>1126</v>
      </c>
      <c r="C153" s="7" t="s">
        <v>1127</v>
      </c>
      <c r="D153" s="7" t="s">
        <v>227</v>
      </c>
      <c r="E153" s="11" t="s">
        <v>60</v>
      </c>
      <c r="F153" s="7" t="s">
        <v>228</v>
      </c>
      <c r="G153" s="7" t="s">
        <v>228</v>
      </c>
      <c r="H153" s="7" t="s">
        <v>228</v>
      </c>
      <c r="I153" s="7" t="s">
        <v>229</v>
      </c>
      <c r="J153" s="7" t="s">
        <v>227</v>
      </c>
      <c r="K153" s="7" t="s">
        <v>227</v>
      </c>
      <c r="L153" s="12" t="s">
        <v>1128</v>
      </c>
      <c r="M153" s="7" t="s">
        <v>231</v>
      </c>
    </row>
    <row r="154" customFormat="false" ht="23.25" hidden="false" customHeight="true" outlineLevel="0" collapsed="false">
      <c r="A154" s="13" t="n">
        <v>75</v>
      </c>
      <c r="B154" s="7" t="s">
        <v>1129</v>
      </c>
      <c r="C154" s="7" t="s">
        <v>1130</v>
      </c>
      <c r="D154" s="7" t="s">
        <v>1131</v>
      </c>
      <c r="E154" s="14" t="s">
        <v>210</v>
      </c>
      <c r="F154" s="7" t="s">
        <v>61</v>
      </c>
      <c r="G154" s="7" t="s">
        <v>937</v>
      </c>
      <c r="H154" s="7" t="s">
        <v>351</v>
      </c>
      <c r="I154" s="7" t="s">
        <v>1132</v>
      </c>
      <c r="J154" s="7" t="s">
        <v>1133</v>
      </c>
      <c r="K154" s="7" t="s">
        <v>354</v>
      </c>
      <c r="L154" s="12" t="s">
        <v>1134</v>
      </c>
      <c r="M154" s="7" t="s">
        <v>356</v>
      </c>
    </row>
    <row r="155" customFormat="false" ht="34.5" hidden="false" customHeight="true" outlineLevel="0" collapsed="false">
      <c r="A155" s="13" t="n">
        <v>75</v>
      </c>
      <c r="B155" s="7" t="s">
        <v>1135</v>
      </c>
      <c r="C155" s="7" t="s">
        <v>1136</v>
      </c>
      <c r="D155" s="7" t="s">
        <v>1137</v>
      </c>
      <c r="E155" s="14" t="s">
        <v>210</v>
      </c>
      <c r="F155" s="7" t="s">
        <v>61</v>
      </c>
      <c r="G155" s="7" t="s">
        <v>937</v>
      </c>
      <c r="H155" s="7" t="s">
        <v>351</v>
      </c>
      <c r="I155" s="7" t="s">
        <v>1138</v>
      </c>
      <c r="J155" s="7" t="s">
        <v>1133</v>
      </c>
      <c r="K155" s="7" t="s">
        <v>354</v>
      </c>
      <c r="L155" s="12" t="s">
        <v>1139</v>
      </c>
      <c r="M155" s="7" t="s">
        <v>356</v>
      </c>
    </row>
    <row r="156" customFormat="false" ht="34.5" hidden="false" customHeight="true" outlineLevel="0" collapsed="false">
      <c r="A156" s="13" t="n">
        <v>75</v>
      </c>
      <c r="B156" s="7" t="s">
        <v>1140</v>
      </c>
      <c r="C156" s="7" t="s">
        <v>1141</v>
      </c>
      <c r="D156" s="7" t="s">
        <v>1137</v>
      </c>
      <c r="E156" s="14" t="s">
        <v>210</v>
      </c>
      <c r="F156" s="7" t="s">
        <v>61</v>
      </c>
      <c r="G156" s="7" t="s">
        <v>937</v>
      </c>
      <c r="H156" s="7" t="s">
        <v>351</v>
      </c>
      <c r="I156" s="7" t="s">
        <v>944</v>
      </c>
      <c r="J156" s="7" t="s">
        <v>1133</v>
      </c>
      <c r="K156" s="7" t="s">
        <v>354</v>
      </c>
      <c r="L156" s="12" t="s">
        <v>1142</v>
      </c>
      <c r="M156" s="7" t="s">
        <v>356</v>
      </c>
    </row>
    <row r="157" customFormat="false" ht="23.25" hidden="false" customHeight="true" outlineLevel="0" collapsed="false">
      <c r="A157" s="13" t="n">
        <v>75</v>
      </c>
      <c r="B157" s="7" t="s">
        <v>1143</v>
      </c>
      <c r="C157" s="7" t="s">
        <v>1144</v>
      </c>
      <c r="D157" s="7" t="s">
        <v>1145</v>
      </c>
      <c r="E157" s="14" t="s">
        <v>210</v>
      </c>
      <c r="F157" s="7" t="s">
        <v>61</v>
      </c>
      <c r="G157" s="7" t="s">
        <v>1146</v>
      </c>
      <c r="H157" s="7" t="s">
        <v>351</v>
      </c>
      <c r="I157" s="7" t="s">
        <v>1147</v>
      </c>
      <c r="J157" s="7" t="s">
        <v>1133</v>
      </c>
      <c r="K157" s="7" t="s">
        <v>354</v>
      </c>
      <c r="L157" s="12" t="s">
        <v>1148</v>
      </c>
      <c r="M157" s="7" t="s">
        <v>356</v>
      </c>
    </row>
    <row r="158" customFormat="false" ht="23.25" hidden="false" customHeight="true" outlineLevel="0" collapsed="false">
      <c r="A158" s="13" t="n">
        <v>75</v>
      </c>
      <c r="B158" s="7" t="s">
        <v>331</v>
      </c>
      <c r="C158" s="7" t="s">
        <v>1149</v>
      </c>
      <c r="D158" s="7" t="s">
        <v>1150</v>
      </c>
      <c r="E158" s="14" t="s">
        <v>210</v>
      </c>
      <c r="F158" s="7" t="s">
        <v>61</v>
      </c>
      <c r="G158" s="7" t="s">
        <v>937</v>
      </c>
      <c r="H158" s="7" t="s">
        <v>351</v>
      </c>
      <c r="I158" s="7" t="s">
        <v>1132</v>
      </c>
      <c r="J158" s="7" t="s">
        <v>1133</v>
      </c>
      <c r="K158" s="7" t="s">
        <v>354</v>
      </c>
      <c r="L158" s="12" t="s">
        <v>1151</v>
      </c>
      <c r="M158" s="7" t="s">
        <v>356</v>
      </c>
    </row>
    <row r="159" customFormat="false" ht="23.25" hidden="false" customHeight="true" outlineLevel="0" collapsed="false">
      <c r="A159" s="13" t="n">
        <v>75</v>
      </c>
      <c r="B159" s="7" t="s">
        <v>344</v>
      </c>
      <c r="C159" s="7" t="s">
        <v>1152</v>
      </c>
      <c r="D159" s="7" t="s">
        <v>1153</v>
      </c>
      <c r="E159" s="14" t="s">
        <v>210</v>
      </c>
      <c r="F159" s="7" t="s">
        <v>61</v>
      </c>
      <c r="G159" s="7" t="s">
        <v>937</v>
      </c>
      <c r="H159" s="7" t="s">
        <v>351</v>
      </c>
      <c r="I159" s="7" t="s">
        <v>1132</v>
      </c>
      <c r="J159" s="7" t="s">
        <v>1133</v>
      </c>
      <c r="K159" s="7" t="s">
        <v>354</v>
      </c>
      <c r="L159" s="12" t="s">
        <v>1154</v>
      </c>
      <c r="M159" s="7" t="s">
        <v>356</v>
      </c>
    </row>
    <row r="160" customFormat="false" ht="23.25" hidden="false" customHeight="true" outlineLevel="0" collapsed="false">
      <c r="A160" s="13" t="n">
        <v>75</v>
      </c>
      <c r="B160" s="7" t="s">
        <v>344</v>
      </c>
      <c r="C160" s="7" t="s">
        <v>1155</v>
      </c>
      <c r="D160" s="7" t="s">
        <v>1145</v>
      </c>
      <c r="E160" s="14" t="s">
        <v>210</v>
      </c>
      <c r="F160" s="7" t="s">
        <v>61</v>
      </c>
      <c r="G160" s="7" t="s">
        <v>937</v>
      </c>
      <c r="H160" s="7" t="s">
        <v>351</v>
      </c>
      <c r="I160" s="7" t="s">
        <v>1156</v>
      </c>
      <c r="J160" s="7" t="s">
        <v>1133</v>
      </c>
      <c r="K160" s="7" t="s">
        <v>354</v>
      </c>
      <c r="L160" s="12" t="s">
        <v>1157</v>
      </c>
      <c r="M160" s="7" t="s">
        <v>356</v>
      </c>
    </row>
    <row r="161" customFormat="false" ht="23.25" hidden="false" customHeight="true" outlineLevel="0" collapsed="false">
      <c r="A161" s="13" t="n">
        <v>75</v>
      </c>
      <c r="B161" s="7" t="s">
        <v>344</v>
      </c>
      <c r="C161" s="7" t="s">
        <v>1158</v>
      </c>
      <c r="D161" s="7" t="s">
        <v>1159</v>
      </c>
      <c r="E161" s="14" t="s">
        <v>210</v>
      </c>
      <c r="F161" s="7" t="s">
        <v>61</v>
      </c>
      <c r="G161" s="7" t="s">
        <v>937</v>
      </c>
      <c r="H161" s="7" t="s">
        <v>351</v>
      </c>
      <c r="I161" s="7" t="s">
        <v>1160</v>
      </c>
      <c r="J161" s="7" t="s">
        <v>1133</v>
      </c>
      <c r="K161" s="7" t="s">
        <v>354</v>
      </c>
      <c r="L161" s="12" t="s">
        <v>1161</v>
      </c>
      <c r="M161" s="7" t="s">
        <v>356</v>
      </c>
    </row>
    <row r="162" customFormat="false" ht="23.25" hidden="false" customHeight="true" outlineLevel="0" collapsed="false">
      <c r="A162" s="13" t="n">
        <v>75</v>
      </c>
      <c r="B162" s="7" t="s">
        <v>1049</v>
      </c>
      <c r="C162" s="7" t="s">
        <v>1162</v>
      </c>
      <c r="D162" s="7" t="s">
        <v>1163</v>
      </c>
      <c r="E162" s="14" t="s">
        <v>210</v>
      </c>
      <c r="F162" s="7" t="s">
        <v>61</v>
      </c>
      <c r="G162" s="7" t="s">
        <v>937</v>
      </c>
      <c r="H162" s="7" t="s">
        <v>351</v>
      </c>
      <c r="I162" s="7" t="s">
        <v>1164</v>
      </c>
      <c r="J162" s="7" t="s">
        <v>1133</v>
      </c>
      <c r="K162" s="7" t="s">
        <v>354</v>
      </c>
      <c r="L162" s="12" t="s">
        <v>1165</v>
      </c>
      <c r="M162" s="7" t="s">
        <v>356</v>
      </c>
    </row>
    <row r="163" customFormat="false" ht="23.25" hidden="false" customHeight="true" outlineLevel="0" collapsed="false">
      <c r="A163" s="13" t="n">
        <v>75</v>
      </c>
      <c r="B163" s="7" t="s">
        <v>1166</v>
      </c>
      <c r="C163" s="7" t="s">
        <v>1167</v>
      </c>
      <c r="D163" s="7" t="s">
        <v>1168</v>
      </c>
      <c r="E163" s="14" t="s">
        <v>210</v>
      </c>
      <c r="F163" s="7" t="s">
        <v>61</v>
      </c>
      <c r="G163" s="7" t="s">
        <v>1169</v>
      </c>
      <c r="H163" s="7" t="s">
        <v>351</v>
      </c>
      <c r="I163" s="7" t="s">
        <v>1147</v>
      </c>
      <c r="J163" s="7" t="s">
        <v>1133</v>
      </c>
      <c r="K163" s="7" t="s">
        <v>354</v>
      </c>
      <c r="L163" s="12" t="s">
        <v>1170</v>
      </c>
      <c r="M163" s="7" t="s">
        <v>356</v>
      </c>
    </row>
    <row r="164" customFormat="false" ht="23.25" hidden="false" customHeight="true" outlineLevel="0" collapsed="false">
      <c r="A164" s="13" t="n">
        <v>75</v>
      </c>
      <c r="B164" s="7" t="s">
        <v>1171</v>
      </c>
      <c r="C164" s="7" t="s">
        <v>1172</v>
      </c>
      <c r="D164" s="7" t="s">
        <v>1173</v>
      </c>
      <c r="E164" s="14" t="s">
        <v>210</v>
      </c>
      <c r="F164" s="7" t="s">
        <v>61</v>
      </c>
      <c r="G164" s="7" t="s">
        <v>1169</v>
      </c>
      <c r="H164" s="7" t="s">
        <v>351</v>
      </c>
      <c r="I164" s="7" t="s">
        <v>1132</v>
      </c>
      <c r="J164" s="7" t="s">
        <v>1133</v>
      </c>
      <c r="K164" s="7" t="s">
        <v>354</v>
      </c>
      <c r="L164" s="12" t="s">
        <v>1174</v>
      </c>
      <c r="M164" s="7" t="s">
        <v>356</v>
      </c>
    </row>
    <row r="165" customFormat="false" ht="23.25" hidden="false" customHeight="true" outlineLevel="0" collapsed="false">
      <c r="A165" s="13" t="n">
        <v>75</v>
      </c>
      <c r="B165" s="7" t="s">
        <v>1175</v>
      </c>
      <c r="C165" s="7" t="s">
        <v>1176</v>
      </c>
      <c r="D165" s="7" t="s">
        <v>1177</v>
      </c>
      <c r="E165" s="14" t="s">
        <v>210</v>
      </c>
      <c r="F165" s="7" t="s">
        <v>61</v>
      </c>
      <c r="G165" s="7" t="s">
        <v>1178</v>
      </c>
      <c r="H165" s="7" t="s">
        <v>351</v>
      </c>
      <c r="I165" s="7" t="s">
        <v>1164</v>
      </c>
      <c r="J165" s="7" t="s">
        <v>1133</v>
      </c>
      <c r="K165" s="7" t="s">
        <v>354</v>
      </c>
      <c r="L165" s="12" t="s">
        <v>1179</v>
      </c>
      <c r="M165" s="7" t="s">
        <v>356</v>
      </c>
    </row>
    <row r="166" customFormat="false" ht="23.25" hidden="false" customHeight="true" outlineLevel="0" collapsed="false">
      <c r="A166" s="13" t="n">
        <v>75</v>
      </c>
      <c r="B166" s="7" t="s">
        <v>344</v>
      </c>
      <c r="C166" s="7" t="s">
        <v>1180</v>
      </c>
      <c r="D166" s="7" t="s">
        <v>1168</v>
      </c>
      <c r="E166" s="14" t="s">
        <v>210</v>
      </c>
      <c r="F166" s="7" t="s">
        <v>61</v>
      </c>
      <c r="G166" s="7" t="s">
        <v>937</v>
      </c>
      <c r="H166" s="7" t="s">
        <v>351</v>
      </c>
      <c r="I166" s="7" t="s">
        <v>1181</v>
      </c>
      <c r="J166" s="7" t="s">
        <v>1133</v>
      </c>
      <c r="K166" s="7" t="s">
        <v>354</v>
      </c>
      <c r="L166" s="12" t="s">
        <v>1182</v>
      </c>
      <c r="M166" s="7" t="s">
        <v>356</v>
      </c>
    </row>
    <row r="167" customFormat="false" ht="34.5" hidden="false" customHeight="true" outlineLevel="0" collapsed="false">
      <c r="A167" s="13" t="n">
        <v>75</v>
      </c>
      <c r="B167" s="7" t="s">
        <v>1183</v>
      </c>
      <c r="C167" s="7" t="s">
        <v>1184</v>
      </c>
      <c r="D167" s="7" t="s">
        <v>1185</v>
      </c>
      <c r="E167" s="14" t="s">
        <v>210</v>
      </c>
      <c r="F167" s="7" t="s">
        <v>61</v>
      </c>
      <c r="G167" s="7" t="s">
        <v>937</v>
      </c>
      <c r="H167" s="7" t="s">
        <v>351</v>
      </c>
      <c r="I167" s="7" t="s">
        <v>1147</v>
      </c>
      <c r="J167" s="7" t="s">
        <v>1133</v>
      </c>
      <c r="K167" s="7" t="s">
        <v>354</v>
      </c>
      <c r="L167" s="12" t="s">
        <v>1186</v>
      </c>
      <c r="M167" s="7" t="s">
        <v>356</v>
      </c>
    </row>
    <row r="168" customFormat="false" ht="34.5" hidden="false" customHeight="true" outlineLevel="0" collapsed="false">
      <c r="A168" s="13" t="n">
        <v>75</v>
      </c>
      <c r="B168" s="7" t="s">
        <v>57</v>
      </c>
      <c r="C168" s="7" t="s">
        <v>1187</v>
      </c>
      <c r="D168" s="7" t="s">
        <v>943</v>
      </c>
      <c r="E168" s="14" t="s">
        <v>210</v>
      </c>
      <c r="F168" s="7" t="s">
        <v>61</v>
      </c>
      <c r="G168" s="7" t="s">
        <v>937</v>
      </c>
      <c r="H168" s="7" t="s">
        <v>351</v>
      </c>
      <c r="I168" s="7" t="s">
        <v>944</v>
      </c>
      <c r="J168" s="7" t="s">
        <v>1133</v>
      </c>
      <c r="K168" s="7" t="s">
        <v>354</v>
      </c>
      <c r="L168" s="12" t="s">
        <v>1188</v>
      </c>
      <c r="M168" s="7" t="s">
        <v>356</v>
      </c>
    </row>
    <row r="169" customFormat="false" ht="34.5" hidden="false" customHeight="true" outlineLevel="0" collapsed="false">
      <c r="A169" s="13" t="n">
        <v>75</v>
      </c>
      <c r="B169" s="7" t="s">
        <v>57</v>
      </c>
      <c r="C169" s="7" t="s">
        <v>1189</v>
      </c>
      <c r="D169" s="7" t="s">
        <v>1190</v>
      </c>
      <c r="E169" s="14" t="s">
        <v>210</v>
      </c>
      <c r="F169" s="7" t="s">
        <v>61</v>
      </c>
      <c r="G169" s="7" t="s">
        <v>937</v>
      </c>
      <c r="H169" s="7" t="s">
        <v>351</v>
      </c>
      <c r="I169" s="7" t="s">
        <v>1191</v>
      </c>
      <c r="J169" s="7" t="s">
        <v>1133</v>
      </c>
      <c r="K169" s="7" t="s">
        <v>354</v>
      </c>
      <c r="L169" s="12" t="s">
        <v>1192</v>
      </c>
      <c r="M169" s="7" t="s">
        <v>356</v>
      </c>
    </row>
    <row r="170" customFormat="false" ht="23.25" hidden="false" customHeight="true" outlineLevel="0" collapsed="false">
      <c r="A170" s="13" t="n">
        <v>75</v>
      </c>
      <c r="B170" s="7" t="s">
        <v>1193</v>
      </c>
      <c r="C170" s="7" t="s">
        <v>1194</v>
      </c>
      <c r="D170" s="7" t="s">
        <v>943</v>
      </c>
      <c r="E170" s="14" t="s">
        <v>210</v>
      </c>
      <c r="F170" s="7" t="s">
        <v>61</v>
      </c>
      <c r="G170" s="7" t="s">
        <v>1195</v>
      </c>
      <c r="H170" s="7" t="s">
        <v>351</v>
      </c>
      <c r="I170" s="7" t="s">
        <v>1196</v>
      </c>
      <c r="J170" s="7" t="s">
        <v>1133</v>
      </c>
      <c r="K170" s="7" t="s">
        <v>354</v>
      </c>
      <c r="L170" s="12" t="s">
        <v>1197</v>
      </c>
      <c r="M170" s="7" t="s">
        <v>356</v>
      </c>
    </row>
    <row r="171" customFormat="false" ht="45.75" hidden="false" customHeight="true" outlineLevel="0" collapsed="false">
      <c r="A171" s="13" t="n">
        <v>75</v>
      </c>
      <c r="B171" s="7" t="s">
        <v>1198</v>
      </c>
      <c r="C171" s="7" t="s">
        <v>1199</v>
      </c>
      <c r="D171" s="7" t="s">
        <v>1200</v>
      </c>
      <c r="E171" s="14" t="s">
        <v>210</v>
      </c>
      <c r="F171" s="7" t="s">
        <v>61</v>
      </c>
      <c r="G171" s="7" t="s">
        <v>1169</v>
      </c>
      <c r="H171" s="7" t="s">
        <v>351</v>
      </c>
      <c r="I171" s="7" t="s">
        <v>1147</v>
      </c>
      <c r="J171" s="7" t="s">
        <v>1133</v>
      </c>
      <c r="K171" s="7" t="s">
        <v>354</v>
      </c>
      <c r="L171" s="12" t="s">
        <v>1201</v>
      </c>
      <c r="M171" s="7" t="s">
        <v>356</v>
      </c>
    </row>
    <row r="172" customFormat="false" ht="45.75" hidden="false" customHeight="true" outlineLevel="0" collapsed="false">
      <c r="A172" s="13" t="n">
        <v>75</v>
      </c>
      <c r="B172" s="7" t="s">
        <v>1202</v>
      </c>
      <c r="C172" s="7" t="s">
        <v>1203</v>
      </c>
      <c r="D172" s="7" t="s">
        <v>1204</v>
      </c>
      <c r="E172" s="14" t="s">
        <v>210</v>
      </c>
      <c r="F172" s="7" t="s">
        <v>61</v>
      </c>
      <c r="G172" s="7" t="s">
        <v>1169</v>
      </c>
      <c r="H172" s="7" t="s">
        <v>351</v>
      </c>
      <c r="I172" s="7" t="s">
        <v>1191</v>
      </c>
      <c r="J172" s="7" t="s">
        <v>1133</v>
      </c>
      <c r="K172" s="7" t="s">
        <v>354</v>
      </c>
      <c r="L172" s="12" t="s">
        <v>1205</v>
      </c>
      <c r="M172" s="7" t="s">
        <v>356</v>
      </c>
    </row>
    <row r="173" customFormat="false" ht="23.25" hidden="false" customHeight="true" outlineLevel="0" collapsed="false">
      <c r="A173" s="13" t="n">
        <v>75</v>
      </c>
      <c r="B173" s="7" t="s">
        <v>1206</v>
      </c>
      <c r="C173" s="7" t="s">
        <v>1207</v>
      </c>
      <c r="D173" s="7" t="s">
        <v>1168</v>
      </c>
      <c r="E173" s="14" t="s">
        <v>210</v>
      </c>
      <c r="F173" s="7" t="s">
        <v>61</v>
      </c>
      <c r="G173" s="7" t="s">
        <v>937</v>
      </c>
      <c r="H173" s="7" t="s">
        <v>351</v>
      </c>
      <c r="I173" s="7" t="s">
        <v>1156</v>
      </c>
      <c r="J173" s="7" t="s">
        <v>1208</v>
      </c>
      <c r="K173" s="7" t="s">
        <v>354</v>
      </c>
      <c r="L173" s="12" t="s">
        <v>1209</v>
      </c>
      <c r="M173" s="7" t="s">
        <v>356</v>
      </c>
    </row>
    <row r="174" customFormat="false" ht="23.25" hidden="false" customHeight="true" outlineLevel="0" collapsed="false">
      <c r="A174" s="13" t="n">
        <v>75</v>
      </c>
      <c r="B174" s="7" t="s">
        <v>1210</v>
      </c>
      <c r="C174" s="7" t="s">
        <v>1211</v>
      </c>
      <c r="D174" s="7" t="s">
        <v>1212</v>
      </c>
      <c r="E174" s="14" t="s">
        <v>210</v>
      </c>
      <c r="F174" s="7" t="s">
        <v>61</v>
      </c>
      <c r="G174" s="7" t="s">
        <v>1169</v>
      </c>
      <c r="H174" s="7" t="s">
        <v>351</v>
      </c>
      <c r="I174" s="7" t="s">
        <v>1164</v>
      </c>
      <c r="J174" s="7" t="s">
        <v>1133</v>
      </c>
      <c r="K174" s="7" t="s">
        <v>354</v>
      </c>
      <c r="L174" s="12" t="s">
        <v>1213</v>
      </c>
      <c r="M174" s="7" t="s">
        <v>356</v>
      </c>
    </row>
    <row r="175" customFormat="false" ht="34.5" hidden="false" customHeight="true" outlineLevel="0" collapsed="false">
      <c r="A175" s="13" t="n">
        <v>75</v>
      </c>
      <c r="B175" s="7" t="s">
        <v>1214</v>
      </c>
      <c r="C175" s="7" t="s">
        <v>1215</v>
      </c>
      <c r="D175" s="7" t="s">
        <v>1216</v>
      </c>
      <c r="E175" s="14" t="s">
        <v>210</v>
      </c>
      <c r="F175" s="7" t="s">
        <v>61</v>
      </c>
      <c r="G175" s="7" t="s">
        <v>937</v>
      </c>
      <c r="H175" s="7" t="s">
        <v>351</v>
      </c>
      <c r="I175" s="7" t="s">
        <v>1217</v>
      </c>
      <c r="J175" s="7" t="s">
        <v>1133</v>
      </c>
      <c r="K175" s="7" t="s">
        <v>354</v>
      </c>
      <c r="L175" s="12" t="s">
        <v>1218</v>
      </c>
      <c r="M175" s="7" t="s">
        <v>356</v>
      </c>
    </row>
    <row r="176" customFormat="false" ht="23.25" hidden="false" customHeight="true" outlineLevel="0" collapsed="false">
      <c r="A176" s="13" t="n">
        <v>75</v>
      </c>
      <c r="B176" s="7" t="s">
        <v>1219</v>
      </c>
      <c r="C176" s="7" t="s">
        <v>1220</v>
      </c>
      <c r="D176" s="7" t="s">
        <v>1221</v>
      </c>
      <c r="E176" s="14" t="s">
        <v>210</v>
      </c>
      <c r="F176" s="7" t="s">
        <v>61</v>
      </c>
      <c r="G176" s="7" t="s">
        <v>1222</v>
      </c>
      <c r="H176" s="7" t="s">
        <v>351</v>
      </c>
      <c r="I176" s="7" t="s">
        <v>1217</v>
      </c>
      <c r="J176" s="7" t="s">
        <v>1133</v>
      </c>
      <c r="K176" s="7" t="s">
        <v>354</v>
      </c>
      <c r="L176" s="12" t="s">
        <v>1223</v>
      </c>
      <c r="M176" s="7" t="s">
        <v>356</v>
      </c>
    </row>
    <row r="177" customFormat="false" ht="34.5" hidden="false" customHeight="true" outlineLevel="0" collapsed="false">
      <c r="A177" s="13" t="n">
        <v>75</v>
      </c>
      <c r="B177" s="7" t="s">
        <v>344</v>
      </c>
      <c r="C177" s="7" t="s">
        <v>1224</v>
      </c>
      <c r="D177" s="7" t="s">
        <v>1225</v>
      </c>
      <c r="E177" s="14" t="s">
        <v>210</v>
      </c>
      <c r="F177" s="7" t="s">
        <v>61</v>
      </c>
      <c r="G177" s="7" t="s">
        <v>1178</v>
      </c>
      <c r="H177" s="7" t="s">
        <v>351</v>
      </c>
      <c r="I177" s="7" t="s">
        <v>1217</v>
      </c>
      <c r="J177" s="7" t="s">
        <v>1133</v>
      </c>
      <c r="K177" s="7" t="s">
        <v>354</v>
      </c>
      <c r="L177" s="12" t="s">
        <v>1226</v>
      </c>
      <c r="M177" s="7" t="s">
        <v>356</v>
      </c>
    </row>
    <row r="178" customFormat="false" ht="34.5" hidden="false" customHeight="true" outlineLevel="0" collapsed="false">
      <c r="A178" s="13" t="n">
        <v>75</v>
      </c>
      <c r="B178" s="7" t="s">
        <v>1227</v>
      </c>
      <c r="C178" s="7" t="s">
        <v>1228</v>
      </c>
      <c r="D178" s="7" t="s">
        <v>1168</v>
      </c>
      <c r="E178" s="14" t="s">
        <v>210</v>
      </c>
      <c r="F178" s="7" t="s">
        <v>61</v>
      </c>
      <c r="G178" s="7" t="s">
        <v>1169</v>
      </c>
      <c r="H178" s="7" t="s">
        <v>351</v>
      </c>
      <c r="I178" s="7" t="s">
        <v>1181</v>
      </c>
      <c r="J178" s="7" t="s">
        <v>1133</v>
      </c>
      <c r="K178" s="7" t="s">
        <v>354</v>
      </c>
      <c r="L178" s="12" t="s">
        <v>1229</v>
      </c>
      <c r="M178" s="7" t="s">
        <v>356</v>
      </c>
    </row>
    <row r="179" customFormat="false" ht="45.75" hidden="false" customHeight="true" outlineLevel="0" collapsed="false">
      <c r="A179" s="13" t="n">
        <v>75</v>
      </c>
      <c r="B179" s="7" t="s">
        <v>1230</v>
      </c>
      <c r="C179" s="7" t="s">
        <v>1231</v>
      </c>
      <c r="D179" s="7" t="s">
        <v>1232</v>
      </c>
      <c r="E179" s="14" t="s">
        <v>210</v>
      </c>
      <c r="F179" s="7" t="s">
        <v>61</v>
      </c>
      <c r="G179" s="7" t="s">
        <v>1169</v>
      </c>
      <c r="H179" s="7" t="s">
        <v>351</v>
      </c>
      <c r="I179" s="7" t="s">
        <v>1132</v>
      </c>
      <c r="J179" s="7" t="s">
        <v>1133</v>
      </c>
      <c r="K179" s="7" t="s">
        <v>354</v>
      </c>
      <c r="L179" s="12" t="s">
        <v>1233</v>
      </c>
      <c r="M179" s="7" t="s">
        <v>356</v>
      </c>
    </row>
    <row r="180" customFormat="false" ht="34.5" hidden="false" customHeight="true" outlineLevel="0" collapsed="false">
      <c r="A180" s="13" t="n">
        <v>75</v>
      </c>
      <c r="B180" s="7" t="s">
        <v>1234</v>
      </c>
      <c r="C180" s="7" t="s">
        <v>1235</v>
      </c>
      <c r="D180" s="7" t="s">
        <v>1236</v>
      </c>
      <c r="E180" s="14" t="s">
        <v>210</v>
      </c>
      <c r="F180" s="7" t="s">
        <v>61</v>
      </c>
      <c r="G180" s="7" t="s">
        <v>1222</v>
      </c>
      <c r="H180" s="7" t="s">
        <v>351</v>
      </c>
      <c r="I180" s="7" t="s">
        <v>1217</v>
      </c>
      <c r="J180" s="7" t="s">
        <v>1133</v>
      </c>
      <c r="K180" s="7" t="s">
        <v>354</v>
      </c>
      <c r="L180" s="12" t="s">
        <v>1237</v>
      </c>
      <c r="M180" s="7" t="s">
        <v>356</v>
      </c>
    </row>
    <row r="181" customFormat="false" ht="45.75" hidden="false" customHeight="true" outlineLevel="0" collapsed="false">
      <c r="A181" s="13" t="n">
        <v>75</v>
      </c>
      <c r="B181" s="7" t="s">
        <v>1238</v>
      </c>
      <c r="C181" s="7" t="s">
        <v>1239</v>
      </c>
      <c r="D181" s="7" t="s">
        <v>1240</v>
      </c>
      <c r="E181" s="14" t="s">
        <v>210</v>
      </c>
      <c r="F181" s="7" t="s">
        <v>61</v>
      </c>
      <c r="G181" s="7" t="s">
        <v>1241</v>
      </c>
      <c r="H181" s="7" t="s">
        <v>351</v>
      </c>
      <c r="I181" s="7" t="s">
        <v>1164</v>
      </c>
      <c r="J181" s="7" t="s">
        <v>1133</v>
      </c>
      <c r="K181" s="7" t="s">
        <v>354</v>
      </c>
      <c r="L181" s="12" t="s">
        <v>1242</v>
      </c>
      <c r="M181" s="7" t="s">
        <v>356</v>
      </c>
    </row>
    <row r="182" customFormat="false" ht="23.25" hidden="false" customHeight="true" outlineLevel="0" collapsed="false">
      <c r="A182" s="13" t="n">
        <v>75</v>
      </c>
      <c r="B182" s="7" t="s">
        <v>1243</v>
      </c>
      <c r="C182" s="7" t="s">
        <v>1244</v>
      </c>
      <c r="D182" s="7" t="s">
        <v>1245</v>
      </c>
      <c r="E182" s="14" t="s">
        <v>210</v>
      </c>
      <c r="F182" s="7" t="s">
        <v>61</v>
      </c>
      <c r="G182" s="7" t="s">
        <v>937</v>
      </c>
      <c r="H182" s="7" t="s">
        <v>351</v>
      </c>
      <c r="I182" s="7" t="s">
        <v>1246</v>
      </c>
      <c r="J182" s="7" t="s">
        <v>1133</v>
      </c>
      <c r="K182" s="7" t="s">
        <v>354</v>
      </c>
      <c r="L182" s="12" t="s">
        <v>1247</v>
      </c>
      <c r="M182" s="7" t="s">
        <v>356</v>
      </c>
    </row>
    <row r="183" customFormat="false" ht="23.25" hidden="false" customHeight="true" outlineLevel="0" collapsed="false">
      <c r="A183" s="13" t="n">
        <v>75</v>
      </c>
      <c r="B183" s="7" t="s">
        <v>1248</v>
      </c>
      <c r="C183" s="7" t="s">
        <v>1249</v>
      </c>
      <c r="D183" s="7" t="s">
        <v>1250</v>
      </c>
      <c r="E183" s="14" t="s">
        <v>210</v>
      </c>
      <c r="F183" s="7" t="s">
        <v>61</v>
      </c>
      <c r="G183" s="7" t="s">
        <v>350</v>
      </c>
      <c r="H183" s="7" t="s">
        <v>351</v>
      </c>
      <c r="I183" s="7" t="s">
        <v>352</v>
      </c>
      <c r="J183" s="7" t="s">
        <v>461</v>
      </c>
      <c r="K183" s="7" t="s">
        <v>354</v>
      </c>
      <c r="L183" s="12" t="s">
        <v>1251</v>
      </c>
      <c r="M183" s="7" t="s">
        <v>356</v>
      </c>
    </row>
    <row r="184" customFormat="false" ht="23.25" hidden="false" customHeight="true" outlineLevel="0" collapsed="false">
      <c r="A184" s="13" t="n">
        <v>75</v>
      </c>
      <c r="B184" s="7" t="s">
        <v>331</v>
      </c>
      <c r="C184" s="7" t="s">
        <v>1252</v>
      </c>
      <c r="D184" s="7" t="s">
        <v>1253</v>
      </c>
      <c r="E184" s="14" t="s">
        <v>210</v>
      </c>
      <c r="F184" s="7" t="s">
        <v>61</v>
      </c>
      <c r="G184" s="7" t="s">
        <v>350</v>
      </c>
      <c r="H184" s="7" t="s">
        <v>351</v>
      </c>
      <c r="I184" s="7" t="s">
        <v>352</v>
      </c>
      <c r="J184" s="7" t="s">
        <v>461</v>
      </c>
      <c r="K184" s="7" t="s">
        <v>354</v>
      </c>
      <c r="L184" s="12" t="s">
        <v>1254</v>
      </c>
      <c r="M184" s="7" t="s">
        <v>356</v>
      </c>
    </row>
    <row r="185" customFormat="false" ht="34.5" hidden="false" customHeight="true" outlineLevel="0" collapsed="false">
      <c r="A185" s="13" t="n">
        <v>75</v>
      </c>
      <c r="B185" s="7" t="s">
        <v>57</v>
      </c>
      <c r="C185" s="7" t="s">
        <v>1255</v>
      </c>
      <c r="D185" s="7" t="s">
        <v>949</v>
      </c>
      <c r="E185" s="14" t="s">
        <v>210</v>
      </c>
      <c r="F185" s="7" t="s">
        <v>61</v>
      </c>
      <c r="G185" s="7" t="s">
        <v>350</v>
      </c>
      <c r="H185" s="7" t="s">
        <v>351</v>
      </c>
      <c r="I185" s="7" t="s">
        <v>352</v>
      </c>
      <c r="J185" s="7" t="s">
        <v>461</v>
      </c>
      <c r="K185" s="7" t="s">
        <v>354</v>
      </c>
      <c r="L185" s="12" t="s">
        <v>1256</v>
      </c>
      <c r="M185" s="7" t="s">
        <v>356</v>
      </c>
    </row>
    <row r="186" customFormat="false" ht="45.75" hidden="false" customHeight="true" outlineLevel="0" collapsed="false">
      <c r="A186" s="13" t="n">
        <v>75</v>
      </c>
      <c r="B186" s="7" t="s">
        <v>331</v>
      </c>
      <c r="C186" s="7" t="s">
        <v>1257</v>
      </c>
      <c r="D186" s="7" t="s">
        <v>949</v>
      </c>
      <c r="E186" s="14" t="s">
        <v>210</v>
      </c>
      <c r="F186" s="7" t="s">
        <v>61</v>
      </c>
      <c r="G186" s="7" t="s">
        <v>350</v>
      </c>
      <c r="H186" s="7" t="s">
        <v>351</v>
      </c>
      <c r="I186" s="7" t="s">
        <v>352</v>
      </c>
      <c r="J186" s="7" t="s">
        <v>461</v>
      </c>
      <c r="K186" s="7" t="s">
        <v>354</v>
      </c>
      <c r="L186" s="12" t="s">
        <v>1258</v>
      </c>
      <c r="M186" s="7" t="s">
        <v>356</v>
      </c>
    </row>
    <row r="187" customFormat="false" ht="34.5" hidden="false" customHeight="true" outlineLevel="0" collapsed="false">
      <c r="A187" s="13" t="n">
        <v>75</v>
      </c>
      <c r="B187" s="7" t="s">
        <v>1259</v>
      </c>
      <c r="C187" s="7" t="s">
        <v>1260</v>
      </c>
      <c r="D187" s="7" t="s">
        <v>949</v>
      </c>
      <c r="E187" s="14" t="s">
        <v>210</v>
      </c>
      <c r="F187" s="7" t="s">
        <v>61</v>
      </c>
      <c r="G187" s="7" t="s">
        <v>350</v>
      </c>
      <c r="H187" s="7" t="s">
        <v>351</v>
      </c>
      <c r="I187" s="7" t="s">
        <v>352</v>
      </c>
      <c r="J187" s="7" t="s">
        <v>1261</v>
      </c>
      <c r="K187" s="7" t="s">
        <v>354</v>
      </c>
      <c r="L187" s="12" t="s">
        <v>1262</v>
      </c>
      <c r="M187" s="7" t="s">
        <v>356</v>
      </c>
    </row>
    <row r="188" customFormat="false" ht="34.5" hidden="false" customHeight="true" outlineLevel="0" collapsed="false">
      <c r="A188" s="13" t="n">
        <v>75</v>
      </c>
      <c r="B188" s="7" t="s">
        <v>1248</v>
      </c>
      <c r="C188" s="7" t="s">
        <v>1263</v>
      </c>
      <c r="D188" s="7" t="s">
        <v>949</v>
      </c>
      <c r="E188" s="14" t="s">
        <v>210</v>
      </c>
      <c r="F188" s="7" t="s">
        <v>61</v>
      </c>
      <c r="G188" s="7" t="s">
        <v>350</v>
      </c>
      <c r="H188" s="7" t="s">
        <v>351</v>
      </c>
      <c r="I188" s="7" t="s">
        <v>352</v>
      </c>
      <c r="J188" s="7" t="s">
        <v>461</v>
      </c>
      <c r="K188" s="7" t="s">
        <v>354</v>
      </c>
      <c r="L188" s="12" t="s">
        <v>1264</v>
      </c>
      <c r="M188" s="7" t="s">
        <v>356</v>
      </c>
    </row>
    <row r="189" customFormat="false" ht="57" hidden="false" customHeight="true" outlineLevel="0" collapsed="false">
      <c r="A189" s="13" t="n">
        <v>75</v>
      </c>
      <c r="B189" s="7" t="s">
        <v>1265</v>
      </c>
      <c r="C189" s="7" t="s">
        <v>1266</v>
      </c>
      <c r="D189" s="7" t="s">
        <v>958</v>
      </c>
      <c r="E189" s="14" t="s">
        <v>210</v>
      </c>
      <c r="F189" s="7" t="s">
        <v>61</v>
      </c>
      <c r="G189" s="7" t="s">
        <v>350</v>
      </c>
      <c r="H189" s="7" t="s">
        <v>351</v>
      </c>
      <c r="I189" s="7" t="s">
        <v>352</v>
      </c>
      <c r="J189" s="7" t="s">
        <v>461</v>
      </c>
      <c r="K189" s="7" t="s">
        <v>354</v>
      </c>
      <c r="L189" s="12" t="s">
        <v>1267</v>
      </c>
      <c r="M189" s="7" t="s">
        <v>356</v>
      </c>
    </row>
    <row r="190" customFormat="false" ht="23.25" hidden="false" customHeight="true" outlineLevel="0" collapsed="false">
      <c r="A190" s="13" t="n">
        <v>75</v>
      </c>
      <c r="B190" s="7" t="s">
        <v>1268</v>
      </c>
      <c r="C190" s="7" t="s">
        <v>1269</v>
      </c>
      <c r="D190" s="7" t="s">
        <v>949</v>
      </c>
      <c r="E190" s="14" t="s">
        <v>210</v>
      </c>
      <c r="F190" s="7" t="s">
        <v>61</v>
      </c>
      <c r="G190" s="7" t="s">
        <v>350</v>
      </c>
      <c r="H190" s="7" t="s">
        <v>351</v>
      </c>
      <c r="I190" s="7" t="s">
        <v>352</v>
      </c>
      <c r="J190" s="7" t="s">
        <v>1270</v>
      </c>
      <c r="K190" s="7" t="s">
        <v>354</v>
      </c>
      <c r="L190" s="12" t="s">
        <v>1271</v>
      </c>
      <c r="M190" s="7" t="s">
        <v>356</v>
      </c>
    </row>
    <row r="191" customFormat="false" ht="34.5" hidden="false" customHeight="true" outlineLevel="0" collapsed="false">
      <c r="A191" s="13" t="n">
        <v>75</v>
      </c>
      <c r="B191" s="7" t="s">
        <v>331</v>
      </c>
      <c r="C191" s="7" t="s">
        <v>1272</v>
      </c>
      <c r="D191" s="7" t="s">
        <v>1273</v>
      </c>
      <c r="E191" s="14" t="s">
        <v>210</v>
      </c>
      <c r="F191" s="7" t="s">
        <v>61</v>
      </c>
      <c r="G191" s="7" t="s">
        <v>350</v>
      </c>
      <c r="H191" s="7" t="s">
        <v>351</v>
      </c>
      <c r="I191" s="7" t="s">
        <v>352</v>
      </c>
      <c r="J191" s="7" t="s">
        <v>461</v>
      </c>
      <c r="K191" s="7" t="s">
        <v>354</v>
      </c>
      <c r="L191" s="12" t="s">
        <v>1274</v>
      </c>
      <c r="M191" s="7" t="s">
        <v>356</v>
      </c>
    </row>
    <row r="192" customFormat="false" ht="23.25" hidden="false" customHeight="true" outlineLevel="0" collapsed="false">
      <c r="A192" s="13" t="n">
        <v>75</v>
      </c>
      <c r="B192" s="7" t="s">
        <v>1275</v>
      </c>
      <c r="C192" s="7" t="s">
        <v>1276</v>
      </c>
      <c r="D192" s="7" t="s">
        <v>1277</v>
      </c>
      <c r="E192" s="14" t="s">
        <v>210</v>
      </c>
      <c r="F192" s="7" t="s">
        <v>61</v>
      </c>
      <c r="G192" s="7" t="s">
        <v>350</v>
      </c>
      <c r="H192" s="7" t="s">
        <v>351</v>
      </c>
      <c r="I192" s="7" t="s">
        <v>352</v>
      </c>
      <c r="J192" s="7" t="s">
        <v>1278</v>
      </c>
      <c r="K192" s="7" t="s">
        <v>354</v>
      </c>
      <c r="L192" s="12" t="s">
        <v>1279</v>
      </c>
      <c r="M192" s="7" t="s">
        <v>356</v>
      </c>
    </row>
    <row r="193" customFormat="false" ht="34.5" hidden="false" customHeight="true" outlineLevel="0" collapsed="false">
      <c r="A193" s="13" t="n">
        <v>75</v>
      </c>
      <c r="B193" s="7" t="s">
        <v>331</v>
      </c>
      <c r="C193" s="7" t="s">
        <v>1280</v>
      </c>
      <c r="D193" s="7" t="s">
        <v>1250</v>
      </c>
      <c r="E193" s="14" t="s">
        <v>210</v>
      </c>
      <c r="F193" s="7" t="s">
        <v>61</v>
      </c>
      <c r="G193" s="7" t="s">
        <v>350</v>
      </c>
      <c r="H193" s="7" t="s">
        <v>351</v>
      </c>
      <c r="I193" s="7" t="s">
        <v>352</v>
      </c>
      <c r="J193" s="7" t="s">
        <v>461</v>
      </c>
      <c r="K193" s="7" t="s">
        <v>354</v>
      </c>
      <c r="L193" s="12" t="s">
        <v>1281</v>
      </c>
      <c r="M193" s="7" t="s">
        <v>356</v>
      </c>
    </row>
    <row r="194" customFormat="false" ht="23.25" hidden="false" customHeight="true" outlineLevel="0" collapsed="false">
      <c r="A194" s="13" t="n">
        <v>75</v>
      </c>
      <c r="B194" s="7" t="s">
        <v>331</v>
      </c>
      <c r="C194" s="7" t="s">
        <v>1282</v>
      </c>
      <c r="D194" s="7" t="s">
        <v>1283</v>
      </c>
      <c r="E194" s="14" t="s">
        <v>210</v>
      </c>
      <c r="F194" s="7" t="s">
        <v>61</v>
      </c>
      <c r="G194" s="7" t="s">
        <v>350</v>
      </c>
      <c r="H194" s="7" t="s">
        <v>351</v>
      </c>
      <c r="I194" s="7" t="s">
        <v>352</v>
      </c>
      <c r="J194" s="7" t="s">
        <v>461</v>
      </c>
      <c r="K194" s="7" t="s">
        <v>354</v>
      </c>
      <c r="L194" s="12" t="s">
        <v>1284</v>
      </c>
      <c r="M194" s="7" t="s">
        <v>356</v>
      </c>
    </row>
    <row r="195" customFormat="false" ht="34.5" hidden="false" customHeight="true" outlineLevel="0" collapsed="false">
      <c r="A195" s="10" t="n">
        <v>75</v>
      </c>
      <c r="B195" s="7" t="s">
        <v>1285</v>
      </c>
      <c r="C195" s="7" t="s">
        <v>1286</v>
      </c>
      <c r="D195" s="7" t="s">
        <v>456</v>
      </c>
      <c r="E195" s="11" t="s">
        <v>60</v>
      </c>
      <c r="F195" s="7" t="s">
        <v>61</v>
      </c>
      <c r="G195" s="7" t="s">
        <v>350</v>
      </c>
      <c r="H195" s="7" t="s">
        <v>351</v>
      </c>
      <c r="I195" s="7" t="s">
        <v>352</v>
      </c>
      <c r="J195" s="7" t="s">
        <v>461</v>
      </c>
      <c r="K195" s="7" t="s">
        <v>354</v>
      </c>
      <c r="L195" s="12" t="s">
        <v>1287</v>
      </c>
      <c r="M195" s="7" t="s">
        <v>356</v>
      </c>
    </row>
    <row r="196" customFormat="false" ht="34.5" hidden="false" customHeight="true" outlineLevel="0" collapsed="false">
      <c r="A196" s="13" t="n">
        <v>75</v>
      </c>
      <c r="B196" s="7" t="s">
        <v>1288</v>
      </c>
      <c r="C196" s="7" t="s">
        <v>1289</v>
      </c>
      <c r="D196" s="7" t="s">
        <v>1290</v>
      </c>
      <c r="E196" s="14" t="s">
        <v>210</v>
      </c>
      <c r="F196" s="7" t="s">
        <v>61</v>
      </c>
      <c r="G196" s="7" t="s">
        <v>350</v>
      </c>
      <c r="H196" s="7" t="s">
        <v>351</v>
      </c>
      <c r="I196" s="7" t="s">
        <v>352</v>
      </c>
      <c r="J196" s="7" t="s">
        <v>1291</v>
      </c>
      <c r="K196" s="7" t="s">
        <v>354</v>
      </c>
      <c r="L196" s="12" t="s">
        <v>1292</v>
      </c>
      <c r="M196" s="7" t="s">
        <v>356</v>
      </c>
    </row>
    <row r="197" customFormat="false" ht="23.25" hidden="false" customHeight="true" outlineLevel="0" collapsed="false">
      <c r="A197" s="13" t="n">
        <v>75</v>
      </c>
      <c r="B197" s="7" t="s">
        <v>331</v>
      </c>
      <c r="C197" s="7" t="s">
        <v>1293</v>
      </c>
      <c r="D197" s="7" t="s">
        <v>1294</v>
      </c>
      <c r="E197" s="14" t="s">
        <v>210</v>
      </c>
      <c r="F197" s="7" t="s">
        <v>61</v>
      </c>
      <c r="G197" s="7" t="s">
        <v>350</v>
      </c>
      <c r="H197" s="7" t="s">
        <v>351</v>
      </c>
      <c r="I197" s="7" t="s">
        <v>352</v>
      </c>
      <c r="J197" s="7" t="s">
        <v>461</v>
      </c>
      <c r="K197" s="7" t="s">
        <v>354</v>
      </c>
      <c r="L197" s="12" t="s">
        <v>1295</v>
      </c>
      <c r="M197" s="7" t="s">
        <v>356</v>
      </c>
    </row>
    <row r="198" customFormat="false" ht="23.25" hidden="false" customHeight="true" outlineLevel="0" collapsed="false">
      <c r="A198" s="13" t="n">
        <v>75</v>
      </c>
      <c r="B198" s="7" t="s">
        <v>1296</v>
      </c>
      <c r="C198" s="7" t="s">
        <v>1297</v>
      </c>
      <c r="D198" s="7" t="s">
        <v>1298</v>
      </c>
      <c r="E198" s="14" t="s">
        <v>210</v>
      </c>
      <c r="F198" s="7" t="s">
        <v>61</v>
      </c>
      <c r="G198" s="7" t="s">
        <v>350</v>
      </c>
      <c r="H198" s="7" t="s">
        <v>351</v>
      </c>
      <c r="I198" s="7" t="s">
        <v>352</v>
      </c>
      <c r="J198" s="7" t="s">
        <v>461</v>
      </c>
      <c r="K198" s="7" t="s">
        <v>354</v>
      </c>
      <c r="L198" s="12" t="s">
        <v>1299</v>
      </c>
      <c r="M198" s="7" t="s">
        <v>356</v>
      </c>
    </row>
    <row r="199" customFormat="false" ht="23.25" hidden="false" customHeight="true" outlineLevel="0" collapsed="false">
      <c r="A199" s="13" t="n">
        <v>75</v>
      </c>
      <c r="B199" s="7" t="s">
        <v>331</v>
      </c>
      <c r="C199" s="7" t="s">
        <v>1300</v>
      </c>
      <c r="D199" s="7" t="s">
        <v>1301</v>
      </c>
      <c r="E199" s="14" t="s">
        <v>210</v>
      </c>
      <c r="F199" s="7" t="s">
        <v>61</v>
      </c>
      <c r="G199" s="7" t="s">
        <v>350</v>
      </c>
      <c r="H199" s="7" t="s">
        <v>351</v>
      </c>
      <c r="I199" s="7" t="s">
        <v>352</v>
      </c>
      <c r="J199" s="7" t="s">
        <v>461</v>
      </c>
      <c r="K199" s="7" t="s">
        <v>354</v>
      </c>
      <c r="L199" s="12" t="s">
        <v>1302</v>
      </c>
      <c r="M199" s="7" t="s">
        <v>356</v>
      </c>
    </row>
    <row r="200" customFormat="false" ht="23.25" hidden="false" customHeight="true" outlineLevel="0" collapsed="false">
      <c r="A200" s="13" t="n">
        <v>75</v>
      </c>
      <c r="B200" s="7" t="s">
        <v>331</v>
      </c>
      <c r="C200" s="7" t="s">
        <v>1303</v>
      </c>
      <c r="D200" s="7" t="s">
        <v>958</v>
      </c>
      <c r="E200" s="14" t="s">
        <v>210</v>
      </c>
      <c r="F200" s="7" t="s">
        <v>61</v>
      </c>
      <c r="G200" s="7" t="s">
        <v>350</v>
      </c>
      <c r="H200" s="7" t="s">
        <v>351</v>
      </c>
      <c r="I200" s="7" t="s">
        <v>352</v>
      </c>
      <c r="J200" s="7" t="s">
        <v>461</v>
      </c>
      <c r="K200" s="7" t="s">
        <v>354</v>
      </c>
      <c r="L200" s="12" t="s">
        <v>1304</v>
      </c>
      <c r="M200" s="7" t="s">
        <v>356</v>
      </c>
    </row>
    <row r="201" customFormat="false" ht="34.5" hidden="false" customHeight="true" outlineLevel="0" collapsed="false">
      <c r="A201" s="13" t="n">
        <v>75</v>
      </c>
      <c r="B201" s="7" t="s">
        <v>459</v>
      </c>
      <c r="C201" s="7" t="s">
        <v>1305</v>
      </c>
      <c r="D201" s="7" t="s">
        <v>958</v>
      </c>
      <c r="E201" s="14" t="s">
        <v>210</v>
      </c>
      <c r="F201" s="7" t="s">
        <v>61</v>
      </c>
      <c r="G201" s="7" t="s">
        <v>350</v>
      </c>
      <c r="H201" s="7" t="s">
        <v>351</v>
      </c>
      <c r="I201" s="7" t="s">
        <v>352</v>
      </c>
      <c r="J201" s="7" t="s">
        <v>461</v>
      </c>
      <c r="K201" s="7" t="s">
        <v>354</v>
      </c>
      <c r="L201" s="12" t="s">
        <v>1306</v>
      </c>
      <c r="M201" s="7" t="s">
        <v>356</v>
      </c>
    </row>
    <row r="202" customFormat="false" ht="23.25" hidden="false" customHeight="true" outlineLevel="0" collapsed="false">
      <c r="A202" s="13" t="n">
        <v>75</v>
      </c>
      <c r="B202" s="7" t="s">
        <v>1307</v>
      </c>
      <c r="C202" s="7" t="s">
        <v>1308</v>
      </c>
      <c r="D202" s="7" t="s">
        <v>958</v>
      </c>
      <c r="E202" s="14" t="s">
        <v>210</v>
      </c>
      <c r="F202" s="7" t="s">
        <v>61</v>
      </c>
      <c r="G202" s="7" t="s">
        <v>350</v>
      </c>
      <c r="H202" s="7" t="s">
        <v>351</v>
      </c>
      <c r="I202" s="7" t="s">
        <v>352</v>
      </c>
      <c r="J202" s="7" t="s">
        <v>461</v>
      </c>
      <c r="K202" s="7" t="s">
        <v>354</v>
      </c>
      <c r="L202" s="12" t="s">
        <v>1309</v>
      </c>
      <c r="M202" s="7" t="s">
        <v>356</v>
      </c>
    </row>
    <row r="203" customFormat="false" ht="34.5" hidden="false" customHeight="true" outlineLevel="0" collapsed="false">
      <c r="A203" s="13" t="n">
        <v>75</v>
      </c>
      <c r="B203" s="7" t="s">
        <v>1310</v>
      </c>
      <c r="C203" s="7" t="s">
        <v>1311</v>
      </c>
      <c r="D203" s="7" t="s">
        <v>1250</v>
      </c>
      <c r="E203" s="14" t="s">
        <v>210</v>
      </c>
      <c r="F203" s="7" t="s">
        <v>61</v>
      </c>
      <c r="G203" s="7" t="s">
        <v>350</v>
      </c>
      <c r="H203" s="7" t="s">
        <v>351</v>
      </c>
      <c r="I203" s="7" t="s">
        <v>352</v>
      </c>
      <c r="J203" s="7" t="s">
        <v>461</v>
      </c>
      <c r="K203" s="7" t="s">
        <v>354</v>
      </c>
      <c r="L203" s="12" t="s">
        <v>1312</v>
      </c>
      <c r="M203" s="7" t="s">
        <v>356</v>
      </c>
    </row>
    <row r="204" customFormat="false" ht="23.25" hidden="false" customHeight="true" outlineLevel="0" collapsed="false">
      <c r="A204" s="13" t="n">
        <v>75</v>
      </c>
      <c r="B204" s="7" t="s">
        <v>331</v>
      </c>
      <c r="C204" s="7" t="s">
        <v>1313</v>
      </c>
      <c r="D204" s="7" t="s">
        <v>1314</v>
      </c>
      <c r="E204" s="14" t="s">
        <v>210</v>
      </c>
      <c r="F204" s="7" t="s">
        <v>61</v>
      </c>
      <c r="G204" s="7" t="s">
        <v>350</v>
      </c>
      <c r="H204" s="7" t="s">
        <v>351</v>
      </c>
      <c r="I204" s="7" t="s">
        <v>587</v>
      </c>
      <c r="J204" s="7" t="s">
        <v>1315</v>
      </c>
      <c r="K204" s="7" t="s">
        <v>589</v>
      </c>
      <c r="L204" s="12" t="s">
        <v>1316</v>
      </c>
      <c r="M204" s="7" t="s">
        <v>591</v>
      </c>
    </row>
    <row r="205" customFormat="false" ht="34.5" hidden="false" customHeight="true" outlineLevel="0" collapsed="false">
      <c r="A205" s="13" t="n">
        <v>74</v>
      </c>
      <c r="B205" s="7" t="s">
        <v>331</v>
      </c>
      <c r="C205" s="7" t="s">
        <v>1317</v>
      </c>
      <c r="D205" s="7" t="s">
        <v>1318</v>
      </c>
      <c r="E205" s="14" t="s">
        <v>210</v>
      </c>
      <c r="F205" s="7" t="s">
        <v>61</v>
      </c>
      <c r="G205" s="7" t="s">
        <v>1319</v>
      </c>
      <c r="H205" s="7" t="s">
        <v>63</v>
      </c>
      <c r="I205" s="7" t="s">
        <v>1320</v>
      </c>
      <c r="J205" s="7" t="s">
        <v>1321</v>
      </c>
      <c r="K205" s="7" t="s">
        <v>1322</v>
      </c>
      <c r="L205" s="12" t="s">
        <v>1323</v>
      </c>
      <c r="M205" s="7" t="s">
        <v>1324</v>
      </c>
    </row>
    <row r="206" customFormat="false" ht="34.5" hidden="false" customHeight="true" outlineLevel="0" collapsed="false">
      <c r="A206" s="13" t="n">
        <v>74</v>
      </c>
      <c r="B206" s="7" t="s">
        <v>1325</v>
      </c>
      <c r="C206" s="7" t="s">
        <v>1326</v>
      </c>
      <c r="D206" s="7" t="s">
        <v>1327</v>
      </c>
      <c r="E206" s="14" t="s">
        <v>210</v>
      </c>
      <c r="F206" s="7" t="s">
        <v>61</v>
      </c>
      <c r="G206" s="7" t="s">
        <v>176</v>
      </c>
      <c r="H206" s="7" t="s">
        <v>1328</v>
      </c>
      <c r="I206" s="7" t="s">
        <v>1320</v>
      </c>
      <c r="J206" s="7" t="s">
        <v>1329</v>
      </c>
      <c r="K206" s="7" t="s">
        <v>1330</v>
      </c>
      <c r="L206" s="12" t="s">
        <v>1331</v>
      </c>
      <c r="M206" s="7" t="s">
        <v>1332</v>
      </c>
    </row>
    <row r="207" customFormat="false" ht="23.25" hidden="false" customHeight="true" outlineLevel="0" collapsed="false">
      <c r="A207" s="13" t="n">
        <v>74</v>
      </c>
      <c r="B207" s="7" t="s">
        <v>435</v>
      </c>
      <c r="C207" s="7" t="s">
        <v>1333</v>
      </c>
      <c r="D207" s="7" t="s">
        <v>446</v>
      </c>
      <c r="E207" s="14" t="s">
        <v>210</v>
      </c>
      <c r="F207" s="7" t="s">
        <v>61</v>
      </c>
      <c r="G207" s="7" t="s">
        <v>1334</v>
      </c>
      <c r="H207" s="7" t="s">
        <v>63</v>
      </c>
      <c r="I207" s="7" t="s">
        <v>63</v>
      </c>
      <c r="J207" s="7" t="s">
        <v>1335</v>
      </c>
      <c r="K207" s="7" t="s">
        <v>1336</v>
      </c>
      <c r="L207" s="12" t="s">
        <v>1337</v>
      </c>
      <c r="M207" s="7" t="s">
        <v>1338</v>
      </c>
    </row>
    <row r="208" customFormat="false" ht="23.25" hidden="false" customHeight="true" outlineLevel="0" collapsed="false">
      <c r="A208" s="13" t="n">
        <v>74</v>
      </c>
      <c r="B208" s="7" t="s">
        <v>1339</v>
      </c>
      <c r="C208" s="7" t="s">
        <v>1340</v>
      </c>
      <c r="D208" s="7" t="s">
        <v>1341</v>
      </c>
      <c r="E208" s="14" t="s">
        <v>210</v>
      </c>
      <c r="F208" s="7" t="s">
        <v>61</v>
      </c>
      <c r="G208" s="7" t="s">
        <v>63</v>
      </c>
      <c r="H208" s="7" t="s">
        <v>63</v>
      </c>
      <c r="I208" s="7" t="s">
        <v>832</v>
      </c>
      <c r="J208" s="7" t="s">
        <v>1342</v>
      </c>
      <c r="K208" s="7" t="s">
        <v>1343</v>
      </c>
      <c r="L208" s="12" t="s">
        <v>1344</v>
      </c>
      <c r="M208" s="7" t="s">
        <v>1345</v>
      </c>
    </row>
    <row r="209" customFormat="false" ht="23.25" hidden="false" customHeight="true" outlineLevel="0" collapsed="false">
      <c r="A209" s="10" t="n">
        <v>74</v>
      </c>
      <c r="B209" s="7" t="s">
        <v>1346</v>
      </c>
      <c r="C209" s="7" t="s">
        <v>1347</v>
      </c>
      <c r="D209" s="7" t="s">
        <v>1348</v>
      </c>
      <c r="E209" s="11" t="s">
        <v>60</v>
      </c>
      <c r="F209" s="7" t="s">
        <v>61</v>
      </c>
      <c r="G209" s="7" t="s">
        <v>1349</v>
      </c>
      <c r="H209" s="7" t="s">
        <v>1350</v>
      </c>
      <c r="I209" s="7" t="s">
        <v>63</v>
      </c>
      <c r="J209" s="7" t="s">
        <v>1351</v>
      </c>
      <c r="K209" s="7" t="s">
        <v>1352</v>
      </c>
      <c r="L209" s="12" t="s">
        <v>1353</v>
      </c>
      <c r="M209" s="7" t="s">
        <v>1354</v>
      </c>
    </row>
    <row r="210" customFormat="false" ht="23.25" hidden="false" customHeight="true" outlineLevel="0" collapsed="false">
      <c r="A210" s="13" t="n">
        <v>74</v>
      </c>
      <c r="B210" s="7" t="s">
        <v>1355</v>
      </c>
      <c r="C210" s="7" t="s">
        <v>1356</v>
      </c>
      <c r="D210" s="7" t="s">
        <v>227</v>
      </c>
      <c r="E210" s="14" t="s">
        <v>210</v>
      </c>
      <c r="F210" s="7" t="s">
        <v>228</v>
      </c>
      <c r="G210" s="7" t="s">
        <v>228</v>
      </c>
      <c r="H210" s="7" t="s">
        <v>228</v>
      </c>
      <c r="I210" s="7" t="s">
        <v>229</v>
      </c>
      <c r="J210" s="7" t="s">
        <v>227</v>
      </c>
      <c r="K210" s="7" t="s">
        <v>227</v>
      </c>
      <c r="L210" s="12" t="s">
        <v>1357</v>
      </c>
      <c r="M210" s="7" t="s">
        <v>231</v>
      </c>
    </row>
    <row r="211" customFormat="false" ht="34.5" hidden="false" customHeight="true" outlineLevel="0" collapsed="false">
      <c r="A211" s="10" t="n">
        <v>74</v>
      </c>
      <c r="B211" s="7" t="s">
        <v>1358</v>
      </c>
      <c r="C211" s="7" t="s">
        <v>1359</v>
      </c>
      <c r="D211" s="7" t="s">
        <v>227</v>
      </c>
      <c r="E211" s="11" t="s">
        <v>60</v>
      </c>
      <c r="F211" s="7" t="s">
        <v>228</v>
      </c>
      <c r="G211" s="7" t="s">
        <v>228</v>
      </c>
      <c r="H211" s="7" t="s">
        <v>228</v>
      </c>
      <c r="I211" s="7" t="s">
        <v>229</v>
      </c>
      <c r="J211" s="7" t="s">
        <v>227</v>
      </c>
      <c r="K211" s="7" t="s">
        <v>227</v>
      </c>
      <c r="L211" s="12" t="s">
        <v>1360</v>
      </c>
      <c r="M211" s="7" t="s">
        <v>231</v>
      </c>
    </row>
    <row r="212" customFormat="false" ht="34.5" hidden="false" customHeight="true" outlineLevel="0" collapsed="false">
      <c r="A212" s="15" t="n">
        <v>74</v>
      </c>
      <c r="B212" s="7" t="s">
        <v>331</v>
      </c>
      <c r="C212" s="7" t="s">
        <v>1361</v>
      </c>
      <c r="D212" s="7" t="s">
        <v>227</v>
      </c>
      <c r="E212" s="16" t="s">
        <v>333</v>
      </c>
      <c r="F212" s="7" t="s">
        <v>228</v>
      </c>
      <c r="G212" s="7" t="s">
        <v>228</v>
      </c>
      <c r="H212" s="7" t="s">
        <v>228</v>
      </c>
      <c r="I212" s="7" t="s">
        <v>229</v>
      </c>
      <c r="J212" s="7" t="s">
        <v>227</v>
      </c>
      <c r="K212" s="7" t="s">
        <v>227</v>
      </c>
      <c r="L212" s="12" t="s">
        <v>1362</v>
      </c>
      <c r="M212" s="7" t="s">
        <v>231</v>
      </c>
    </row>
    <row r="213" customFormat="false" ht="23.25" hidden="false" customHeight="true" outlineLevel="0" collapsed="false">
      <c r="A213" s="10" t="n">
        <v>74</v>
      </c>
      <c r="B213" s="7" t="s">
        <v>1363</v>
      </c>
      <c r="C213" s="7" t="s">
        <v>1364</v>
      </c>
      <c r="D213" s="7" t="s">
        <v>227</v>
      </c>
      <c r="E213" s="11" t="s">
        <v>60</v>
      </c>
      <c r="F213" s="7" t="s">
        <v>228</v>
      </c>
      <c r="G213" s="7" t="s">
        <v>228</v>
      </c>
      <c r="H213" s="7" t="s">
        <v>228</v>
      </c>
      <c r="I213" s="7" t="s">
        <v>229</v>
      </c>
      <c r="J213" s="7" t="s">
        <v>227</v>
      </c>
      <c r="K213" s="7" t="s">
        <v>227</v>
      </c>
      <c r="L213" s="12" t="s">
        <v>1365</v>
      </c>
      <c r="M213" s="7" t="s">
        <v>231</v>
      </c>
    </row>
    <row r="214" customFormat="false" ht="23.25" hidden="false" customHeight="true" outlineLevel="0" collapsed="false">
      <c r="A214" s="10" t="n">
        <v>74</v>
      </c>
      <c r="B214" s="7" t="s">
        <v>1366</v>
      </c>
      <c r="C214" s="7" t="s">
        <v>1367</v>
      </c>
      <c r="D214" s="7" t="s">
        <v>227</v>
      </c>
      <c r="E214" s="11" t="s">
        <v>60</v>
      </c>
      <c r="F214" s="7" t="s">
        <v>228</v>
      </c>
      <c r="G214" s="7" t="s">
        <v>228</v>
      </c>
      <c r="H214" s="7" t="s">
        <v>228</v>
      </c>
      <c r="I214" s="7" t="s">
        <v>229</v>
      </c>
      <c r="J214" s="7" t="s">
        <v>227</v>
      </c>
      <c r="K214" s="7" t="s">
        <v>227</v>
      </c>
      <c r="L214" s="12" t="s">
        <v>1368</v>
      </c>
      <c r="M214" s="7" t="s">
        <v>231</v>
      </c>
    </row>
    <row r="215" customFormat="false" ht="45.75" hidden="false" customHeight="true" outlineLevel="0" collapsed="false">
      <c r="A215" s="13" t="n">
        <v>73</v>
      </c>
      <c r="B215" s="7" t="s">
        <v>1369</v>
      </c>
      <c r="C215" s="7" t="s">
        <v>1370</v>
      </c>
      <c r="D215" s="7" t="s">
        <v>1371</v>
      </c>
      <c r="E215" s="14" t="s">
        <v>210</v>
      </c>
      <c r="F215" s="7" t="s">
        <v>61</v>
      </c>
      <c r="G215" s="7" t="s">
        <v>1372</v>
      </c>
      <c r="H215" s="7" t="s">
        <v>1373</v>
      </c>
      <c r="I215" s="7" t="s">
        <v>1374</v>
      </c>
      <c r="J215" s="7" t="s">
        <v>1375</v>
      </c>
      <c r="K215" s="7" t="s">
        <v>1376</v>
      </c>
      <c r="L215" s="12" t="s">
        <v>1377</v>
      </c>
      <c r="M215" s="7" t="s">
        <v>1378</v>
      </c>
    </row>
    <row r="216" customFormat="false" ht="34.5" hidden="false" customHeight="true" outlineLevel="0" collapsed="false">
      <c r="A216" s="13" t="n">
        <v>73</v>
      </c>
      <c r="B216" s="7" t="s">
        <v>1248</v>
      </c>
      <c r="C216" s="7" t="s">
        <v>1379</v>
      </c>
      <c r="D216" s="7" t="s">
        <v>1380</v>
      </c>
      <c r="E216" s="14" t="s">
        <v>210</v>
      </c>
      <c r="F216" s="7" t="s">
        <v>61</v>
      </c>
      <c r="G216" s="7" t="s">
        <v>1381</v>
      </c>
      <c r="H216" s="7" t="s">
        <v>63</v>
      </c>
      <c r="I216" s="7" t="s">
        <v>1382</v>
      </c>
      <c r="J216" s="7" t="s">
        <v>1383</v>
      </c>
      <c r="K216" s="7" t="s">
        <v>1384</v>
      </c>
      <c r="L216" s="12" t="s">
        <v>1385</v>
      </c>
      <c r="M216" s="7" t="s">
        <v>1386</v>
      </c>
    </row>
    <row r="217" customFormat="false" ht="23.25" hidden="false" customHeight="true" outlineLevel="0" collapsed="false">
      <c r="A217" s="13" t="n">
        <v>73</v>
      </c>
      <c r="B217" s="7" t="s">
        <v>1387</v>
      </c>
      <c r="C217" s="7" t="s">
        <v>1388</v>
      </c>
      <c r="D217" s="7" t="s">
        <v>1389</v>
      </c>
      <c r="E217" s="14" t="s">
        <v>210</v>
      </c>
      <c r="F217" s="7" t="s">
        <v>61</v>
      </c>
      <c r="G217" s="7" t="s">
        <v>1390</v>
      </c>
      <c r="H217" s="7" t="s">
        <v>63</v>
      </c>
      <c r="I217" s="7" t="s">
        <v>285</v>
      </c>
      <c r="J217" s="7" t="s">
        <v>1391</v>
      </c>
      <c r="K217" s="7" t="s">
        <v>1392</v>
      </c>
      <c r="L217" s="12" t="s">
        <v>1393</v>
      </c>
      <c r="M217" s="7" t="s">
        <v>1394</v>
      </c>
    </row>
    <row r="218" customFormat="false" ht="23.25" hidden="false" customHeight="true" outlineLevel="0" collapsed="false">
      <c r="A218" s="13" t="n">
        <v>73</v>
      </c>
      <c r="B218" s="7" t="s">
        <v>1395</v>
      </c>
      <c r="C218" s="7" t="s">
        <v>1396</v>
      </c>
      <c r="D218" s="7" t="s">
        <v>1397</v>
      </c>
      <c r="E218" s="14" t="s">
        <v>210</v>
      </c>
      <c r="F218" s="7" t="s">
        <v>61</v>
      </c>
      <c r="G218" s="7" t="s">
        <v>1398</v>
      </c>
      <c r="H218" s="7" t="s">
        <v>63</v>
      </c>
      <c r="I218" s="7" t="s">
        <v>1399</v>
      </c>
      <c r="J218" s="7" t="s">
        <v>1400</v>
      </c>
      <c r="K218" s="7" t="s">
        <v>1401</v>
      </c>
      <c r="L218" s="12" t="s">
        <v>1402</v>
      </c>
      <c r="M218" s="7" t="s">
        <v>1403</v>
      </c>
    </row>
    <row r="219" customFormat="false" ht="45.75" hidden="false" customHeight="true" outlineLevel="0" collapsed="false">
      <c r="A219" s="13" t="n">
        <v>73</v>
      </c>
      <c r="B219" s="7" t="s">
        <v>1404</v>
      </c>
      <c r="C219" s="7" t="s">
        <v>1405</v>
      </c>
      <c r="D219" s="7" t="s">
        <v>1406</v>
      </c>
      <c r="E219" s="14" t="s">
        <v>210</v>
      </c>
      <c r="F219" s="7" t="s">
        <v>61</v>
      </c>
      <c r="G219" s="7" t="s">
        <v>1407</v>
      </c>
      <c r="H219" s="7" t="s">
        <v>63</v>
      </c>
      <c r="I219" s="7" t="s">
        <v>1115</v>
      </c>
      <c r="J219" s="7" t="s">
        <v>1408</v>
      </c>
      <c r="K219" s="7" t="s">
        <v>1409</v>
      </c>
      <c r="L219" s="12" t="s">
        <v>1410</v>
      </c>
      <c r="M219" s="7" t="s">
        <v>1411</v>
      </c>
    </row>
    <row r="220" customFormat="false" ht="35.05" hidden="false" customHeight="false" outlineLevel="0" collapsed="false">
      <c r="A220" s="10" t="n">
        <v>73</v>
      </c>
      <c r="B220" s="7" t="s">
        <v>1412</v>
      </c>
      <c r="C220" s="7" t="s">
        <v>1413</v>
      </c>
      <c r="D220" s="7" t="s">
        <v>168</v>
      </c>
      <c r="E220" s="11" t="s">
        <v>60</v>
      </c>
      <c r="F220" s="7" t="s">
        <v>109</v>
      </c>
      <c r="G220" s="7" t="s">
        <v>1414</v>
      </c>
      <c r="H220" s="7" t="s">
        <v>63</v>
      </c>
      <c r="I220" s="7" t="s">
        <v>63</v>
      </c>
      <c r="J220" s="7" t="s">
        <v>1415</v>
      </c>
      <c r="K220" s="7" t="s">
        <v>1416</v>
      </c>
      <c r="L220" s="12" t="s">
        <v>1417</v>
      </c>
      <c r="M220" s="7" t="s">
        <v>1418</v>
      </c>
    </row>
    <row r="221" customFormat="false" ht="23.85" hidden="false" customHeight="false" outlineLevel="0" collapsed="false">
      <c r="A221" s="15" t="n">
        <v>73</v>
      </c>
      <c r="B221" s="7" t="s">
        <v>1419</v>
      </c>
      <c r="C221" s="7" t="s">
        <v>1420</v>
      </c>
      <c r="D221" s="7" t="s">
        <v>227</v>
      </c>
      <c r="E221" s="16" t="s">
        <v>333</v>
      </c>
      <c r="F221" s="7" t="s">
        <v>228</v>
      </c>
      <c r="G221" s="7" t="s">
        <v>228</v>
      </c>
      <c r="H221" s="7" t="s">
        <v>228</v>
      </c>
      <c r="I221" s="7" t="s">
        <v>229</v>
      </c>
      <c r="J221" s="7" t="s">
        <v>227</v>
      </c>
      <c r="K221" s="7" t="s">
        <v>227</v>
      </c>
      <c r="L221" s="12" t="s">
        <v>1421</v>
      </c>
      <c r="M221" s="7" t="s">
        <v>231</v>
      </c>
    </row>
    <row r="222" customFormat="false" ht="23.85" hidden="false" customHeight="false" outlineLevel="0" collapsed="false">
      <c r="A222" s="10" t="n">
        <v>73</v>
      </c>
      <c r="B222" s="7" t="s">
        <v>1422</v>
      </c>
      <c r="C222" s="7" t="s">
        <v>1423</v>
      </c>
      <c r="D222" s="7" t="s">
        <v>227</v>
      </c>
      <c r="E222" s="11" t="s">
        <v>60</v>
      </c>
      <c r="F222" s="7" t="s">
        <v>228</v>
      </c>
      <c r="G222" s="7" t="s">
        <v>228</v>
      </c>
      <c r="H222" s="7" t="s">
        <v>228</v>
      </c>
      <c r="I222" s="7" t="s">
        <v>229</v>
      </c>
      <c r="J222" s="7" t="s">
        <v>227</v>
      </c>
      <c r="K222" s="7" t="s">
        <v>227</v>
      </c>
      <c r="L222" s="12" t="s">
        <v>1424</v>
      </c>
      <c r="M222" s="7" t="s">
        <v>231</v>
      </c>
    </row>
    <row r="223" customFormat="false" ht="35.05" hidden="false" customHeight="false" outlineLevel="0" collapsed="false">
      <c r="A223" s="13" t="n">
        <v>73</v>
      </c>
      <c r="B223" s="7" t="s">
        <v>1425</v>
      </c>
      <c r="C223" s="7" t="s">
        <v>1426</v>
      </c>
      <c r="D223" s="7" t="s">
        <v>1427</v>
      </c>
      <c r="E223" s="14" t="s">
        <v>210</v>
      </c>
      <c r="F223" s="7" t="s">
        <v>61</v>
      </c>
      <c r="G223" s="7" t="s">
        <v>1428</v>
      </c>
      <c r="H223" s="7" t="s">
        <v>351</v>
      </c>
      <c r="I223" s="7" t="s">
        <v>1160</v>
      </c>
      <c r="J223" s="7" t="s">
        <v>1429</v>
      </c>
      <c r="K223" s="7" t="s">
        <v>354</v>
      </c>
      <c r="L223" s="12" t="s">
        <v>1430</v>
      </c>
      <c r="M223" s="7" t="s">
        <v>356</v>
      </c>
    </row>
    <row r="224" customFormat="false" ht="35.05" hidden="false" customHeight="false" outlineLevel="0" collapsed="false">
      <c r="A224" s="13" t="n">
        <v>73</v>
      </c>
      <c r="B224" s="7" t="s">
        <v>1431</v>
      </c>
      <c r="C224" s="7" t="s">
        <v>1432</v>
      </c>
      <c r="D224" s="7" t="s">
        <v>1168</v>
      </c>
      <c r="E224" s="14" t="s">
        <v>210</v>
      </c>
      <c r="F224" s="7" t="s">
        <v>61</v>
      </c>
      <c r="G224" s="7" t="s">
        <v>1169</v>
      </c>
      <c r="H224" s="7" t="s">
        <v>351</v>
      </c>
      <c r="I224" s="7" t="s">
        <v>1433</v>
      </c>
      <c r="J224" s="7" t="s">
        <v>1434</v>
      </c>
      <c r="K224" s="7" t="s">
        <v>354</v>
      </c>
      <c r="L224" s="12" t="s">
        <v>1435</v>
      </c>
      <c r="M224" s="7" t="s">
        <v>356</v>
      </c>
    </row>
    <row r="225" customFormat="false" ht="35.05" hidden="false" customHeight="false" outlineLevel="0" collapsed="false">
      <c r="A225" s="13" t="n">
        <v>73</v>
      </c>
      <c r="B225" s="7" t="s">
        <v>1436</v>
      </c>
      <c r="C225" s="7" t="s">
        <v>1437</v>
      </c>
      <c r="D225" s="7" t="s">
        <v>1190</v>
      </c>
      <c r="E225" s="14" t="s">
        <v>210</v>
      </c>
      <c r="F225" s="7" t="s">
        <v>61</v>
      </c>
      <c r="G225" s="7" t="s">
        <v>937</v>
      </c>
      <c r="H225" s="7" t="s">
        <v>351</v>
      </c>
      <c r="I225" s="7" t="s">
        <v>1164</v>
      </c>
      <c r="J225" s="7" t="s">
        <v>1438</v>
      </c>
      <c r="K225" s="7" t="s">
        <v>354</v>
      </c>
      <c r="L225" s="12" t="s">
        <v>1439</v>
      </c>
      <c r="M225" s="7" t="s">
        <v>356</v>
      </c>
    </row>
    <row r="226" customFormat="false" ht="35.05" hidden="false" customHeight="false" outlineLevel="0" collapsed="false">
      <c r="A226" s="13" t="n">
        <v>73</v>
      </c>
      <c r="B226" s="7" t="s">
        <v>1440</v>
      </c>
      <c r="C226" s="7" t="s">
        <v>1441</v>
      </c>
      <c r="D226" s="7" t="s">
        <v>1442</v>
      </c>
      <c r="E226" s="14" t="s">
        <v>210</v>
      </c>
      <c r="F226" s="7" t="s">
        <v>61</v>
      </c>
      <c r="G226" s="7" t="s">
        <v>937</v>
      </c>
      <c r="H226" s="7" t="s">
        <v>351</v>
      </c>
      <c r="I226" s="7" t="s">
        <v>1443</v>
      </c>
      <c r="J226" s="7" t="s">
        <v>1444</v>
      </c>
      <c r="K226" s="7" t="s">
        <v>354</v>
      </c>
      <c r="L226" s="12" t="s">
        <v>1445</v>
      </c>
      <c r="M226" s="7" t="s">
        <v>356</v>
      </c>
    </row>
    <row r="227" customFormat="false" ht="35.05" hidden="false" customHeight="false" outlineLevel="0" collapsed="false">
      <c r="A227" s="13" t="n">
        <v>73</v>
      </c>
      <c r="B227" s="7" t="s">
        <v>344</v>
      </c>
      <c r="C227" s="7" t="s">
        <v>1446</v>
      </c>
      <c r="D227" s="7" t="s">
        <v>1447</v>
      </c>
      <c r="E227" s="14" t="s">
        <v>210</v>
      </c>
      <c r="F227" s="7" t="s">
        <v>61</v>
      </c>
      <c r="G227" s="7" t="s">
        <v>937</v>
      </c>
      <c r="H227" s="7" t="s">
        <v>351</v>
      </c>
      <c r="I227" s="7" t="s">
        <v>1181</v>
      </c>
      <c r="J227" s="7" t="s">
        <v>1448</v>
      </c>
      <c r="K227" s="7" t="s">
        <v>354</v>
      </c>
      <c r="L227" s="12" t="s">
        <v>1449</v>
      </c>
      <c r="M227" s="7" t="s">
        <v>356</v>
      </c>
    </row>
    <row r="228" customFormat="false" ht="35.05" hidden="false" customHeight="false" outlineLevel="0" collapsed="false">
      <c r="A228" s="13" t="n">
        <v>73</v>
      </c>
      <c r="B228" s="7" t="s">
        <v>1450</v>
      </c>
      <c r="C228" s="7" t="s">
        <v>1451</v>
      </c>
      <c r="D228" s="7" t="s">
        <v>1168</v>
      </c>
      <c r="E228" s="14" t="s">
        <v>210</v>
      </c>
      <c r="F228" s="7" t="s">
        <v>61</v>
      </c>
      <c r="G228" s="7" t="s">
        <v>937</v>
      </c>
      <c r="H228" s="7" t="s">
        <v>351</v>
      </c>
      <c r="I228" s="7" t="s">
        <v>1147</v>
      </c>
      <c r="J228" s="7" t="s">
        <v>1452</v>
      </c>
      <c r="K228" s="7" t="s">
        <v>354</v>
      </c>
      <c r="L228" s="12" t="s">
        <v>1453</v>
      </c>
      <c r="M228" s="7" t="s">
        <v>356</v>
      </c>
    </row>
    <row r="229" customFormat="false" ht="35.05" hidden="false" customHeight="false" outlineLevel="0" collapsed="false">
      <c r="A229" s="13" t="n">
        <v>73</v>
      </c>
      <c r="B229" s="7" t="s">
        <v>1454</v>
      </c>
      <c r="C229" s="7" t="s">
        <v>1455</v>
      </c>
      <c r="D229" s="7" t="s">
        <v>1456</v>
      </c>
      <c r="E229" s="14" t="s">
        <v>210</v>
      </c>
      <c r="F229" s="7" t="s">
        <v>61</v>
      </c>
      <c r="G229" s="7" t="s">
        <v>937</v>
      </c>
      <c r="H229" s="7" t="s">
        <v>351</v>
      </c>
      <c r="I229" s="7" t="s">
        <v>1181</v>
      </c>
      <c r="J229" s="7" t="s">
        <v>1457</v>
      </c>
      <c r="K229" s="7" t="s">
        <v>354</v>
      </c>
      <c r="L229" s="12" t="s">
        <v>1458</v>
      </c>
      <c r="M229" s="7" t="s">
        <v>356</v>
      </c>
    </row>
    <row r="230" customFormat="false" ht="35.05" hidden="false" customHeight="false" outlineLevel="0" collapsed="false">
      <c r="A230" s="13" t="n">
        <v>73</v>
      </c>
      <c r="B230" s="7" t="s">
        <v>1459</v>
      </c>
      <c r="C230" s="7" t="s">
        <v>1460</v>
      </c>
      <c r="D230" s="7" t="s">
        <v>1461</v>
      </c>
      <c r="E230" s="14" t="s">
        <v>210</v>
      </c>
      <c r="F230" s="7" t="s">
        <v>61</v>
      </c>
      <c r="G230" s="7" t="s">
        <v>350</v>
      </c>
      <c r="H230" s="7" t="s">
        <v>351</v>
      </c>
      <c r="I230" s="7" t="s">
        <v>352</v>
      </c>
      <c r="J230" s="7" t="s">
        <v>1462</v>
      </c>
      <c r="K230" s="7" t="s">
        <v>354</v>
      </c>
      <c r="L230" s="12" t="s">
        <v>1463</v>
      </c>
      <c r="M230" s="7" t="s">
        <v>356</v>
      </c>
    </row>
    <row r="231" customFormat="false" ht="35.05" hidden="false" customHeight="false" outlineLevel="0" collapsed="false">
      <c r="A231" s="13" t="n">
        <v>73</v>
      </c>
      <c r="B231" s="7" t="s">
        <v>1464</v>
      </c>
      <c r="C231" s="7" t="s">
        <v>1465</v>
      </c>
      <c r="D231" s="7" t="s">
        <v>949</v>
      </c>
      <c r="E231" s="14" t="s">
        <v>210</v>
      </c>
      <c r="F231" s="7" t="s">
        <v>61</v>
      </c>
      <c r="G231" s="7" t="s">
        <v>350</v>
      </c>
      <c r="H231" s="7" t="s">
        <v>351</v>
      </c>
      <c r="I231" s="7" t="s">
        <v>352</v>
      </c>
      <c r="J231" s="7" t="s">
        <v>1466</v>
      </c>
      <c r="K231" s="7" t="s">
        <v>354</v>
      </c>
      <c r="L231" s="12" t="s">
        <v>1467</v>
      </c>
      <c r="M231" s="7" t="s">
        <v>356</v>
      </c>
    </row>
    <row r="232" customFormat="false" ht="35.05" hidden="false" customHeight="false" outlineLevel="0" collapsed="false">
      <c r="A232" s="13" t="n">
        <v>73</v>
      </c>
      <c r="B232" s="7" t="s">
        <v>1468</v>
      </c>
      <c r="C232" s="7" t="s">
        <v>1469</v>
      </c>
      <c r="D232" s="7" t="s">
        <v>949</v>
      </c>
      <c r="E232" s="14" t="s">
        <v>210</v>
      </c>
      <c r="F232" s="7" t="s">
        <v>61</v>
      </c>
      <c r="G232" s="7" t="s">
        <v>350</v>
      </c>
      <c r="H232" s="7" t="s">
        <v>351</v>
      </c>
      <c r="I232" s="7" t="s">
        <v>352</v>
      </c>
      <c r="J232" s="7" t="s">
        <v>1470</v>
      </c>
      <c r="K232" s="7" t="s">
        <v>354</v>
      </c>
      <c r="L232" s="12" t="s">
        <v>1471</v>
      </c>
      <c r="M232" s="7" t="s">
        <v>356</v>
      </c>
    </row>
    <row r="233" customFormat="false" ht="35.05" hidden="false" customHeight="false" outlineLevel="0" collapsed="false">
      <c r="A233" s="13" t="n">
        <v>73</v>
      </c>
      <c r="B233" s="7" t="s">
        <v>331</v>
      </c>
      <c r="C233" s="7" t="s">
        <v>1472</v>
      </c>
      <c r="D233" s="7" t="s">
        <v>1473</v>
      </c>
      <c r="E233" s="14" t="s">
        <v>210</v>
      </c>
      <c r="F233" s="7" t="s">
        <v>61</v>
      </c>
      <c r="G233" s="7" t="s">
        <v>350</v>
      </c>
      <c r="H233" s="7" t="s">
        <v>351</v>
      </c>
      <c r="I233" s="7" t="s">
        <v>352</v>
      </c>
      <c r="J233" s="7" t="s">
        <v>1474</v>
      </c>
      <c r="K233" s="7" t="s">
        <v>354</v>
      </c>
      <c r="L233" s="12" t="s">
        <v>1475</v>
      </c>
      <c r="M233" s="7" t="s">
        <v>356</v>
      </c>
    </row>
    <row r="234" customFormat="false" ht="35.05" hidden="false" customHeight="false" outlineLevel="0" collapsed="false">
      <c r="A234" s="13" t="n">
        <v>73</v>
      </c>
      <c r="B234" s="7" t="s">
        <v>1476</v>
      </c>
      <c r="C234" s="7" t="s">
        <v>1477</v>
      </c>
      <c r="D234" s="7" t="s">
        <v>1478</v>
      </c>
      <c r="E234" s="14" t="s">
        <v>210</v>
      </c>
      <c r="F234" s="7" t="s">
        <v>61</v>
      </c>
      <c r="G234" s="7" t="s">
        <v>350</v>
      </c>
      <c r="H234" s="7" t="s">
        <v>351</v>
      </c>
      <c r="I234" s="7" t="s">
        <v>352</v>
      </c>
      <c r="J234" s="7" t="s">
        <v>1479</v>
      </c>
      <c r="K234" s="7" t="s">
        <v>354</v>
      </c>
      <c r="L234" s="12" t="s">
        <v>1480</v>
      </c>
      <c r="M234" s="7" t="s">
        <v>356</v>
      </c>
    </row>
    <row r="235" customFormat="false" ht="35.05" hidden="false" customHeight="false" outlineLevel="0" collapsed="false">
      <c r="A235" s="10" t="n">
        <v>72</v>
      </c>
      <c r="B235" s="7" t="s">
        <v>1481</v>
      </c>
      <c r="C235" s="7" t="s">
        <v>1482</v>
      </c>
      <c r="D235" s="7" t="s">
        <v>1483</v>
      </c>
      <c r="E235" s="11" t="s">
        <v>60</v>
      </c>
      <c r="F235" s="7" t="s">
        <v>109</v>
      </c>
      <c r="G235" s="7" t="s">
        <v>63</v>
      </c>
      <c r="H235" s="7" t="s">
        <v>63</v>
      </c>
      <c r="I235" s="7" t="s">
        <v>1484</v>
      </c>
      <c r="J235" s="7" t="s">
        <v>1485</v>
      </c>
      <c r="K235" s="7" t="s">
        <v>1486</v>
      </c>
      <c r="L235" s="12" t="s">
        <v>1487</v>
      </c>
      <c r="M235" s="7" t="s">
        <v>1488</v>
      </c>
    </row>
    <row r="236" customFormat="false" ht="35.05" hidden="false" customHeight="false" outlineLevel="0" collapsed="false">
      <c r="A236" s="13" t="n">
        <v>72</v>
      </c>
      <c r="B236" s="7" t="s">
        <v>1489</v>
      </c>
      <c r="C236" s="7" t="s">
        <v>1490</v>
      </c>
      <c r="D236" s="7" t="s">
        <v>1491</v>
      </c>
      <c r="E236" s="14" t="s">
        <v>210</v>
      </c>
      <c r="F236" s="7" t="s">
        <v>61</v>
      </c>
      <c r="G236" s="7" t="s">
        <v>1492</v>
      </c>
      <c r="H236" s="7" t="s">
        <v>63</v>
      </c>
      <c r="I236" s="7" t="s">
        <v>1493</v>
      </c>
      <c r="J236" s="7" t="s">
        <v>1494</v>
      </c>
      <c r="K236" s="7" t="s">
        <v>1495</v>
      </c>
      <c r="L236" s="12" t="s">
        <v>1496</v>
      </c>
      <c r="M236" s="7" t="s">
        <v>1497</v>
      </c>
    </row>
    <row r="237" customFormat="false" ht="23.85" hidden="false" customHeight="false" outlineLevel="0" collapsed="false">
      <c r="A237" s="10" t="n">
        <v>72</v>
      </c>
      <c r="B237" s="7" t="s">
        <v>1498</v>
      </c>
      <c r="C237" s="7" t="s">
        <v>1499</v>
      </c>
      <c r="D237" s="7" t="s">
        <v>1500</v>
      </c>
      <c r="E237" s="11" t="s">
        <v>60</v>
      </c>
      <c r="F237" s="7" t="s">
        <v>61</v>
      </c>
      <c r="G237" s="7" t="s">
        <v>1501</v>
      </c>
      <c r="H237" s="7" t="s">
        <v>63</v>
      </c>
      <c r="I237" s="7" t="s">
        <v>1502</v>
      </c>
      <c r="J237" s="7" t="s">
        <v>1503</v>
      </c>
      <c r="K237" s="7" t="s">
        <v>1504</v>
      </c>
      <c r="L237" s="12" t="s">
        <v>1505</v>
      </c>
      <c r="M237" s="7" t="s">
        <v>1506</v>
      </c>
    </row>
    <row r="238" customFormat="false" ht="35.05" hidden="false" customHeight="false" outlineLevel="0" collapsed="false">
      <c r="A238" s="10" t="n">
        <v>72</v>
      </c>
      <c r="B238" s="7" t="s">
        <v>1507</v>
      </c>
      <c r="C238" s="7" t="s">
        <v>1508</v>
      </c>
      <c r="D238" s="7" t="s">
        <v>1509</v>
      </c>
      <c r="E238" s="11" t="s">
        <v>60</v>
      </c>
      <c r="F238" s="7" t="s">
        <v>61</v>
      </c>
      <c r="G238" s="7" t="s">
        <v>1510</v>
      </c>
      <c r="H238" s="7" t="s">
        <v>63</v>
      </c>
      <c r="I238" s="7" t="s">
        <v>63</v>
      </c>
      <c r="J238" s="7" t="s">
        <v>1511</v>
      </c>
      <c r="K238" s="7" t="s">
        <v>1512</v>
      </c>
      <c r="L238" s="12" t="s">
        <v>1513</v>
      </c>
      <c r="M238" s="7" t="s">
        <v>1514</v>
      </c>
    </row>
    <row r="239" customFormat="false" ht="35.05" hidden="false" customHeight="false" outlineLevel="0" collapsed="false">
      <c r="A239" s="13" t="n">
        <v>72</v>
      </c>
      <c r="B239" s="7" t="s">
        <v>1515</v>
      </c>
      <c r="C239" s="7" t="s">
        <v>1516</v>
      </c>
      <c r="D239" s="7" t="s">
        <v>1517</v>
      </c>
      <c r="E239" s="14" t="s">
        <v>210</v>
      </c>
      <c r="F239" s="7" t="s">
        <v>61</v>
      </c>
      <c r="G239" s="7" t="s">
        <v>1518</v>
      </c>
      <c r="H239" s="7" t="s">
        <v>63</v>
      </c>
      <c r="I239" s="7" t="s">
        <v>63</v>
      </c>
      <c r="J239" s="7" t="s">
        <v>1519</v>
      </c>
      <c r="K239" s="7" t="s">
        <v>1520</v>
      </c>
      <c r="L239" s="12" t="s">
        <v>1521</v>
      </c>
      <c r="M239" s="7" t="s">
        <v>1522</v>
      </c>
    </row>
    <row r="240" customFormat="false" ht="35.05" hidden="false" customHeight="false" outlineLevel="0" collapsed="false">
      <c r="A240" s="13" t="n">
        <v>72</v>
      </c>
      <c r="B240" s="7" t="s">
        <v>963</v>
      </c>
      <c r="C240" s="7" t="s">
        <v>1523</v>
      </c>
      <c r="D240" s="7" t="s">
        <v>1524</v>
      </c>
      <c r="E240" s="14" t="s">
        <v>210</v>
      </c>
      <c r="F240" s="7" t="s">
        <v>61</v>
      </c>
      <c r="G240" s="7" t="s">
        <v>1525</v>
      </c>
      <c r="H240" s="7" t="s">
        <v>63</v>
      </c>
      <c r="I240" s="7" t="s">
        <v>63</v>
      </c>
      <c r="J240" s="7" t="s">
        <v>1526</v>
      </c>
      <c r="K240" s="7" t="s">
        <v>1527</v>
      </c>
      <c r="L240" s="12" t="s">
        <v>1528</v>
      </c>
      <c r="M240" s="7" t="s">
        <v>1529</v>
      </c>
    </row>
    <row r="241" customFormat="false" ht="23.85" hidden="false" customHeight="false" outlineLevel="0" collapsed="false">
      <c r="A241" s="10" t="n">
        <v>72</v>
      </c>
      <c r="B241" s="7" t="s">
        <v>1530</v>
      </c>
      <c r="C241" s="7" t="s">
        <v>1531</v>
      </c>
      <c r="D241" s="7" t="s">
        <v>227</v>
      </c>
      <c r="E241" s="11" t="s">
        <v>60</v>
      </c>
      <c r="F241" s="7" t="s">
        <v>228</v>
      </c>
      <c r="G241" s="7" t="s">
        <v>228</v>
      </c>
      <c r="H241" s="7" t="s">
        <v>228</v>
      </c>
      <c r="I241" s="7" t="s">
        <v>229</v>
      </c>
      <c r="J241" s="7" t="s">
        <v>227</v>
      </c>
      <c r="K241" s="7" t="s">
        <v>227</v>
      </c>
      <c r="L241" s="12" t="s">
        <v>1532</v>
      </c>
      <c r="M241" s="7" t="s">
        <v>231</v>
      </c>
    </row>
    <row r="242" customFormat="false" ht="23.85" hidden="false" customHeight="false" outlineLevel="0" collapsed="false">
      <c r="A242" s="15" t="n">
        <v>72</v>
      </c>
      <c r="B242" s="7" t="s">
        <v>1533</v>
      </c>
      <c r="C242" s="7" t="s">
        <v>1534</v>
      </c>
      <c r="D242" s="7" t="s">
        <v>227</v>
      </c>
      <c r="E242" s="16" t="s">
        <v>333</v>
      </c>
      <c r="F242" s="7" t="s">
        <v>228</v>
      </c>
      <c r="G242" s="7" t="s">
        <v>228</v>
      </c>
      <c r="H242" s="7" t="s">
        <v>228</v>
      </c>
      <c r="I242" s="7" t="s">
        <v>229</v>
      </c>
      <c r="J242" s="7" t="s">
        <v>227</v>
      </c>
      <c r="K242" s="7" t="s">
        <v>227</v>
      </c>
      <c r="L242" s="12" t="s">
        <v>1535</v>
      </c>
      <c r="M242" s="7" t="s">
        <v>231</v>
      </c>
    </row>
    <row r="243" customFormat="false" ht="23.85" hidden="false" customHeight="false" outlineLevel="0" collapsed="false">
      <c r="A243" s="15" t="n">
        <v>72</v>
      </c>
      <c r="B243" s="7" t="s">
        <v>1536</v>
      </c>
      <c r="C243" s="7" t="s">
        <v>1537</v>
      </c>
      <c r="D243" s="7" t="s">
        <v>227</v>
      </c>
      <c r="E243" s="16" t="s">
        <v>333</v>
      </c>
      <c r="F243" s="7" t="s">
        <v>228</v>
      </c>
      <c r="G243" s="7" t="s">
        <v>228</v>
      </c>
      <c r="H243" s="7" t="s">
        <v>228</v>
      </c>
      <c r="I243" s="7" t="s">
        <v>229</v>
      </c>
      <c r="J243" s="7" t="s">
        <v>227</v>
      </c>
      <c r="K243" s="7" t="s">
        <v>227</v>
      </c>
      <c r="L243" s="12" t="s">
        <v>1538</v>
      </c>
      <c r="M243" s="7" t="s">
        <v>231</v>
      </c>
    </row>
    <row r="244" customFormat="false" ht="23.85" hidden="false" customHeight="false" outlineLevel="0" collapsed="false">
      <c r="A244" s="15" t="n">
        <v>72</v>
      </c>
      <c r="B244" s="7" t="s">
        <v>1539</v>
      </c>
      <c r="C244" s="7" t="s">
        <v>1540</v>
      </c>
      <c r="D244" s="7" t="s">
        <v>227</v>
      </c>
      <c r="E244" s="16" t="s">
        <v>333</v>
      </c>
      <c r="F244" s="7" t="s">
        <v>228</v>
      </c>
      <c r="G244" s="7" t="s">
        <v>228</v>
      </c>
      <c r="H244" s="7" t="s">
        <v>228</v>
      </c>
      <c r="I244" s="7" t="s">
        <v>229</v>
      </c>
      <c r="J244" s="7" t="s">
        <v>227</v>
      </c>
      <c r="K244" s="7" t="s">
        <v>227</v>
      </c>
      <c r="L244" s="12" t="s">
        <v>1541</v>
      </c>
      <c r="M244" s="7" t="s">
        <v>231</v>
      </c>
    </row>
    <row r="245" customFormat="false" ht="23.85" hidden="false" customHeight="false" outlineLevel="0" collapsed="false">
      <c r="A245" s="13" t="n">
        <v>72</v>
      </c>
      <c r="B245" s="7" t="s">
        <v>1542</v>
      </c>
      <c r="C245" s="7" t="s">
        <v>1543</v>
      </c>
      <c r="D245" s="7" t="s">
        <v>227</v>
      </c>
      <c r="E245" s="14" t="s">
        <v>210</v>
      </c>
      <c r="F245" s="7" t="s">
        <v>228</v>
      </c>
      <c r="G245" s="7" t="s">
        <v>228</v>
      </c>
      <c r="H245" s="7" t="s">
        <v>228</v>
      </c>
      <c r="I245" s="7" t="s">
        <v>229</v>
      </c>
      <c r="J245" s="7" t="s">
        <v>227</v>
      </c>
      <c r="K245" s="7" t="s">
        <v>227</v>
      </c>
      <c r="L245" s="12" t="s">
        <v>1544</v>
      </c>
      <c r="M245" s="7" t="s">
        <v>231</v>
      </c>
    </row>
    <row r="246" customFormat="false" ht="35.05" hidden="false" customHeight="false" outlineLevel="0" collapsed="false">
      <c r="A246" s="13" t="n">
        <v>71</v>
      </c>
      <c r="B246" s="7" t="s">
        <v>1545</v>
      </c>
      <c r="C246" s="7" t="s">
        <v>1546</v>
      </c>
      <c r="D246" s="7" t="s">
        <v>1547</v>
      </c>
      <c r="E246" s="14" t="s">
        <v>210</v>
      </c>
      <c r="F246" s="7" t="s">
        <v>61</v>
      </c>
      <c r="G246" s="7" t="s">
        <v>176</v>
      </c>
      <c r="H246" s="7" t="s">
        <v>63</v>
      </c>
      <c r="I246" s="7" t="s">
        <v>1548</v>
      </c>
      <c r="J246" s="7" t="s">
        <v>1549</v>
      </c>
      <c r="K246" s="7" t="s">
        <v>1550</v>
      </c>
      <c r="L246" s="12" t="s">
        <v>1551</v>
      </c>
      <c r="M246" s="7" t="s">
        <v>1552</v>
      </c>
    </row>
    <row r="247" customFormat="false" ht="35.05" hidden="false" customHeight="false" outlineLevel="0" collapsed="false">
      <c r="A247" s="13" t="n">
        <v>71</v>
      </c>
      <c r="B247" s="7" t="s">
        <v>1553</v>
      </c>
      <c r="C247" s="7" t="s">
        <v>1554</v>
      </c>
      <c r="D247" s="7" t="s">
        <v>267</v>
      </c>
      <c r="E247" s="14" t="s">
        <v>210</v>
      </c>
      <c r="F247" s="7" t="s">
        <v>109</v>
      </c>
      <c r="G247" s="7" t="s">
        <v>63</v>
      </c>
      <c r="H247" s="7" t="s">
        <v>63</v>
      </c>
      <c r="I247" s="7" t="s">
        <v>1555</v>
      </c>
      <c r="J247" s="7" t="s">
        <v>1556</v>
      </c>
      <c r="K247" s="7" t="s">
        <v>1557</v>
      </c>
      <c r="L247" s="12" t="s">
        <v>1558</v>
      </c>
      <c r="M247" s="7" t="s">
        <v>1559</v>
      </c>
    </row>
    <row r="248" customFormat="false" ht="23.85" hidden="false" customHeight="false" outlineLevel="0" collapsed="false">
      <c r="A248" s="10" t="n">
        <v>71</v>
      </c>
      <c r="B248" s="7" t="s">
        <v>1560</v>
      </c>
      <c r="C248" s="7" t="s">
        <v>1561</v>
      </c>
      <c r="D248" s="7" t="s">
        <v>227</v>
      </c>
      <c r="E248" s="11" t="s">
        <v>60</v>
      </c>
      <c r="F248" s="7" t="s">
        <v>228</v>
      </c>
      <c r="G248" s="7" t="s">
        <v>228</v>
      </c>
      <c r="H248" s="7" t="s">
        <v>228</v>
      </c>
      <c r="I248" s="7" t="s">
        <v>229</v>
      </c>
      <c r="J248" s="7" t="s">
        <v>227</v>
      </c>
      <c r="K248" s="7" t="s">
        <v>227</v>
      </c>
      <c r="L248" s="12" t="s">
        <v>1562</v>
      </c>
      <c r="M248" s="7" t="s">
        <v>231</v>
      </c>
    </row>
    <row r="249" customFormat="false" ht="23.85" hidden="false" customHeight="false" outlineLevel="0" collapsed="false">
      <c r="A249" s="10" t="n">
        <v>71</v>
      </c>
      <c r="B249" s="7" t="s">
        <v>1563</v>
      </c>
      <c r="C249" s="7" t="s">
        <v>1564</v>
      </c>
      <c r="D249" s="7" t="s">
        <v>227</v>
      </c>
      <c r="E249" s="11" t="s">
        <v>60</v>
      </c>
      <c r="F249" s="7" t="s">
        <v>228</v>
      </c>
      <c r="G249" s="7" t="s">
        <v>228</v>
      </c>
      <c r="H249" s="7" t="s">
        <v>228</v>
      </c>
      <c r="I249" s="7" t="s">
        <v>229</v>
      </c>
      <c r="J249" s="7" t="s">
        <v>227</v>
      </c>
      <c r="K249" s="7" t="s">
        <v>227</v>
      </c>
      <c r="L249" s="12" t="s">
        <v>1565</v>
      </c>
      <c r="M249" s="7" t="s">
        <v>231</v>
      </c>
    </row>
    <row r="250" customFormat="false" ht="23.85" hidden="false" customHeight="false" outlineLevel="0" collapsed="false">
      <c r="A250" s="15" t="n">
        <v>71</v>
      </c>
      <c r="B250" s="7" t="s">
        <v>1566</v>
      </c>
      <c r="C250" s="7" t="s">
        <v>1567</v>
      </c>
      <c r="D250" s="7" t="s">
        <v>227</v>
      </c>
      <c r="E250" s="16" t="s">
        <v>333</v>
      </c>
      <c r="F250" s="7" t="s">
        <v>228</v>
      </c>
      <c r="G250" s="7" t="s">
        <v>228</v>
      </c>
      <c r="H250" s="7" t="s">
        <v>228</v>
      </c>
      <c r="I250" s="7" t="s">
        <v>229</v>
      </c>
      <c r="J250" s="7" t="s">
        <v>227</v>
      </c>
      <c r="K250" s="7" t="s">
        <v>227</v>
      </c>
      <c r="L250" s="12" t="s">
        <v>1568</v>
      </c>
      <c r="M250" s="7" t="s">
        <v>231</v>
      </c>
    </row>
    <row r="251" customFormat="false" ht="23.85" hidden="false" customHeight="false" outlineLevel="0" collapsed="false">
      <c r="A251" s="10" t="n">
        <v>71</v>
      </c>
      <c r="B251" s="7" t="s">
        <v>1569</v>
      </c>
      <c r="C251" s="7" t="s">
        <v>1364</v>
      </c>
      <c r="D251" s="7" t="s">
        <v>227</v>
      </c>
      <c r="E251" s="11" t="s">
        <v>60</v>
      </c>
      <c r="F251" s="7" t="s">
        <v>228</v>
      </c>
      <c r="G251" s="7" t="s">
        <v>228</v>
      </c>
      <c r="H251" s="7" t="s">
        <v>228</v>
      </c>
      <c r="I251" s="7" t="s">
        <v>229</v>
      </c>
      <c r="J251" s="7" t="s">
        <v>227</v>
      </c>
      <c r="K251" s="7" t="s">
        <v>227</v>
      </c>
      <c r="L251" s="12" t="s">
        <v>1570</v>
      </c>
      <c r="M251" s="7" t="s">
        <v>231</v>
      </c>
    </row>
    <row r="252" customFormat="false" ht="23.85" hidden="false" customHeight="false" outlineLevel="0" collapsed="false">
      <c r="A252" s="13" t="n">
        <v>71</v>
      </c>
      <c r="B252" s="7" t="s">
        <v>1571</v>
      </c>
      <c r="C252" s="7" t="s">
        <v>1572</v>
      </c>
      <c r="D252" s="7" t="s">
        <v>227</v>
      </c>
      <c r="E252" s="14" t="s">
        <v>210</v>
      </c>
      <c r="F252" s="7" t="s">
        <v>228</v>
      </c>
      <c r="G252" s="7" t="s">
        <v>228</v>
      </c>
      <c r="H252" s="7" t="s">
        <v>228</v>
      </c>
      <c r="I252" s="7" t="s">
        <v>229</v>
      </c>
      <c r="J252" s="7" t="s">
        <v>227</v>
      </c>
      <c r="K252" s="7" t="s">
        <v>227</v>
      </c>
      <c r="L252" s="12" t="s">
        <v>1573</v>
      </c>
      <c r="M252" s="7" t="s">
        <v>231</v>
      </c>
    </row>
    <row r="253" customFormat="false" ht="46.25" hidden="false" customHeight="false" outlineLevel="0" collapsed="false">
      <c r="A253" s="13" t="n">
        <v>71</v>
      </c>
      <c r="B253" s="7" t="s">
        <v>1574</v>
      </c>
      <c r="C253" s="7" t="s">
        <v>1575</v>
      </c>
      <c r="D253" s="7" t="s">
        <v>1576</v>
      </c>
      <c r="E253" s="14" t="s">
        <v>210</v>
      </c>
      <c r="F253" s="7" t="s">
        <v>61</v>
      </c>
      <c r="G253" s="7" t="s">
        <v>1577</v>
      </c>
      <c r="H253" s="7" t="s">
        <v>63</v>
      </c>
      <c r="I253" s="7" t="s">
        <v>63</v>
      </c>
      <c r="J253" s="7" t="s">
        <v>1578</v>
      </c>
      <c r="K253" s="7" t="s">
        <v>1579</v>
      </c>
      <c r="L253" s="12" t="s">
        <v>1580</v>
      </c>
      <c r="M253" s="7" t="s">
        <v>1581</v>
      </c>
    </row>
    <row r="254" customFormat="false" ht="23.85" hidden="false" customHeight="false" outlineLevel="0" collapsed="false">
      <c r="A254" s="10" t="n">
        <v>71</v>
      </c>
      <c r="B254" s="7" t="s">
        <v>1582</v>
      </c>
      <c r="C254" s="7" t="s">
        <v>1583</v>
      </c>
      <c r="D254" s="7" t="s">
        <v>168</v>
      </c>
      <c r="E254" s="11" t="s">
        <v>60</v>
      </c>
      <c r="F254" s="7" t="s">
        <v>109</v>
      </c>
      <c r="G254" s="7" t="s">
        <v>1584</v>
      </c>
      <c r="H254" s="7" t="s">
        <v>63</v>
      </c>
      <c r="I254" s="7" t="s">
        <v>1585</v>
      </c>
      <c r="J254" s="7" t="s">
        <v>1586</v>
      </c>
      <c r="K254" s="7" t="s">
        <v>1587</v>
      </c>
      <c r="L254" s="12" t="s">
        <v>1588</v>
      </c>
      <c r="M254" s="7" t="s">
        <v>1589</v>
      </c>
    </row>
    <row r="255" customFormat="false" ht="23.85" hidden="false" customHeight="false" outlineLevel="0" collapsed="false">
      <c r="A255" s="10" t="n">
        <v>70</v>
      </c>
      <c r="B255" s="7" t="s">
        <v>1590</v>
      </c>
      <c r="C255" s="7" t="s">
        <v>1591</v>
      </c>
      <c r="D255" s="7" t="s">
        <v>1592</v>
      </c>
      <c r="E255" s="11" t="s">
        <v>60</v>
      </c>
      <c r="F255" s="7" t="s">
        <v>61</v>
      </c>
      <c r="G255" s="7" t="s">
        <v>1593</v>
      </c>
      <c r="H255" s="7" t="s">
        <v>63</v>
      </c>
      <c r="I255" s="7" t="s">
        <v>368</v>
      </c>
      <c r="J255" s="7" t="s">
        <v>1594</v>
      </c>
      <c r="K255" s="7" t="s">
        <v>1595</v>
      </c>
      <c r="L255" s="12" t="s">
        <v>1596</v>
      </c>
      <c r="M255" s="7" t="s">
        <v>1597</v>
      </c>
    </row>
    <row r="256" customFormat="false" ht="23.85" hidden="false" customHeight="false" outlineLevel="0" collapsed="false">
      <c r="A256" s="10" t="n">
        <v>70</v>
      </c>
      <c r="B256" s="7" t="s">
        <v>1598</v>
      </c>
      <c r="C256" s="7" t="s">
        <v>1599</v>
      </c>
      <c r="D256" s="7" t="s">
        <v>227</v>
      </c>
      <c r="E256" s="11" t="s">
        <v>60</v>
      </c>
      <c r="F256" s="7" t="s">
        <v>228</v>
      </c>
      <c r="G256" s="7" t="s">
        <v>228</v>
      </c>
      <c r="H256" s="7" t="s">
        <v>228</v>
      </c>
      <c r="I256" s="7" t="s">
        <v>229</v>
      </c>
      <c r="J256" s="7" t="s">
        <v>227</v>
      </c>
      <c r="K256" s="7" t="s">
        <v>227</v>
      </c>
      <c r="L256" s="12" t="s">
        <v>1600</v>
      </c>
      <c r="M256" s="7" t="s">
        <v>231</v>
      </c>
    </row>
    <row r="257" customFormat="false" ht="23.85" hidden="false" customHeight="false" outlineLevel="0" collapsed="false">
      <c r="A257" s="15" t="n">
        <v>70</v>
      </c>
      <c r="B257" s="7" t="s">
        <v>435</v>
      </c>
      <c r="C257" s="7" t="s">
        <v>1601</v>
      </c>
      <c r="D257" s="7" t="s">
        <v>227</v>
      </c>
      <c r="E257" s="16" t="s">
        <v>333</v>
      </c>
      <c r="F257" s="7" t="s">
        <v>228</v>
      </c>
      <c r="G257" s="7" t="s">
        <v>228</v>
      </c>
      <c r="H257" s="7" t="s">
        <v>228</v>
      </c>
      <c r="I257" s="7" t="s">
        <v>229</v>
      </c>
      <c r="J257" s="7" t="s">
        <v>227</v>
      </c>
      <c r="K257" s="7" t="s">
        <v>227</v>
      </c>
      <c r="L257" s="12" t="s">
        <v>1602</v>
      </c>
      <c r="M257" s="7" t="s">
        <v>231</v>
      </c>
    </row>
    <row r="258" customFormat="false" ht="23.85" hidden="false" customHeight="false" outlineLevel="0" collapsed="false">
      <c r="A258" s="15" t="n">
        <v>70</v>
      </c>
      <c r="B258" s="7" t="s">
        <v>1603</v>
      </c>
      <c r="C258" s="7" t="s">
        <v>1604</v>
      </c>
      <c r="D258" s="7" t="s">
        <v>227</v>
      </c>
      <c r="E258" s="16" t="s">
        <v>333</v>
      </c>
      <c r="F258" s="7" t="s">
        <v>228</v>
      </c>
      <c r="G258" s="7" t="s">
        <v>228</v>
      </c>
      <c r="H258" s="7" t="s">
        <v>228</v>
      </c>
      <c r="I258" s="7" t="s">
        <v>229</v>
      </c>
      <c r="J258" s="7" t="s">
        <v>227</v>
      </c>
      <c r="K258" s="7" t="s">
        <v>227</v>
      </c>
      <c r="L258" s="12" t="s">
        <v>1605</v>
      </c>
      <c r="M258" s="7" t="s">
        <v>231</v>
      </c>
    </row>
    <row r="259" customFormat="false" ht="23.85" hidden="false" customHeight="false" outlineLevel="0" collapsed="false">
      <c r="A259" s="10" t="n">
        <v>70</v>
      </c>
      <c r="B259" s="7" t="s">
        <v>1606</v>
      </c>
      <c r="C259" s="7" t="s">
        <v>1127</v>
      </c>
      <c r="D259" s="7" t="s">
        <v>227</v>
      </c>
      <c r="E259" s="11" t="s">
        <v>60</v>
      </c>
      <c r="F259" s="7" t="s">
        <v>228</v>
      </c>
      <c r="G259" s="7" t="s">
        <v>228</v>
      </c>
      <c r="H259" s="7" t="s">
        <v>228</v>
      </c>
      <c r="I259" s="7" t="s">
        <v>229</v>
      </c>
      <c r="J259" s="7" t="s">
        <v>227</v>
      </c>
      <c r="K259" s="7" t="s">
        <v>227</v>
      </c>
      <c r="L259" s="12" t="s">
        <v>1607</v>
      </c>
      <c r="M259" s="7" t="s">
        <v>231</v>
      </c>
    </row>
    <row r="260" customFormat="false" ht="46.25" hidden="false" customHeight="false" outlineLevel="0" collapsed="false">
      <c r="A260" s="13" t="n">
        <v>70</v>
      </c>
      <c r="B260" s="7" t="s">
        <v>1608</v>
      </c>
      <c r="C260" s="7" t="s">
        <v>1609</v>
      </c>
      <c r="D260" s="7" t="s">
        <v>1610</v>
      </c>
      <c r="E260" s="14" t="s">
        <v>210</v>
      </c>
      <c r="F260" s="7" t="s">
        <v>61</v>
      </c>
      <c r="G260" s="7" t="s">
        <v>63</v>
      </c>
      <c r="H260" s="7" t="s">
        <v>63</v>
      </c>
      <c r="I260" s="7" t="s">
        <v>63</v>
      </c>
      <c r="J260" s="7" t="s">
        <v>1611</v>
      </c>
      <c r="K260" s="7" t="s">
        <v>1612</v>
      </c>
      <c r="L260" s="12" t="s">
        <v>1613</v>
      </c>
      <c r="M260" s="7" t="s">
        <v>1614</v>
      </c>
    </row>
    <row r="261" customFormat="false" ht="23.85" hidden="false" customHeight="false" outlineLevel="0" collapsed="false">
      <c r="A261" s="13" t="n">
        <v>70</v>
      </c>
      <c r="B261" s="7" t="s">
        <v>1615</v>
      </c>
      <c r="C261" s="7" t="s">
        <v>1616</v>
      </c>
      <c r="D261" s="7" t="s">
        <v>1617</v>
      </c>
      <c r="E261" s="14" t="s">
        <v>210</v>
      </c>
      <c r="F261" s="7" t="s">
        <v>61</v>
      </c>
      <c r="G261" s="7" t="s">
        <v>1618</v>
      </c>
      <c r="H261" s="7" t="s">
        <v>63</v>
      </c>
      <c r="I261" s="7" t="s">
        <v>641</v>
      </c>
      <c r="J261" s="7" t="s">
        <v>1619</v>
      </c>
      <c r="K261" s="7" t="s">
        <v>1620</v>
      </c>
      <c r="L261" s="12" t="s">
        <v>1621</v>
      </c>
      <c r="M261" s="7" t="s">
        <v>1622</v>
      </c>
    </row>
    <row r="262" customFormat="false" ht="23.85" hidden="false" customHeight="false" outlineLevel="0" collapsed="false">
      <c r="A262" s="13" t="n">
        <v>70</v>
      </c>
      <c r="B262" s="7" t="s">
        <v>1539</v>
      </c>
      <c r="C262" s="7" t="s">
        <v>1623</v>
      </c>
      <c r="D262" s="7" t="s">
        <v>1624</v>
      </c>
      <c r="E262" s="14" t="s">
        <v>210</v>
      </c>
      <c r="F262" s="7" t="s">
        <v>63</v>
      </c>
      <c r="G262" s="7" t="s">
        <v>63</v>
      </c>
      <c r="H262" s="7" t="s">
        <v>63</v>
      </c>
      <c r="I262" s="7" t="s">
        <v>63</v>
      </c>
      <c r="J262" s="7" t="s">
        <v>1625</v>
      </c>
      <c r="K262" s="7" t="s">
        <v>1626</v>
      </c>
      <c r="L262" s="12" t="s">
        <v>1627</v>
      </c>
      <c r="M262" s="7" t="s">
        <v>1628</v>
      </c>
    </row>
    <row r="263" customFormat="false" ht="35.05" hidden="false" customHeight="false" outlineLevel="0" collapsed="false">
      <c r="A263" s="15" t="n">
        <v>69</v>
      </c>
      <c r="B263" s="7" t="s">
        <v>1629</v>
      </c>
      <c r="C263" s="7" t="s">
        <v>1630</v>
      </c>
      <c r="D263" s="7" t="s">
        <v>1631</v>
      </c>
      <c r="E263" s="16" t="s">
        <v>333</v>
      </c>
      <c r="F263" s="7" t="s">
        <v>61</v>
      </c>
      <c r="G263" s="7" t="s">
        <v>1632</v>
      </c>
      <c r="H263" s="7" t="s">
        <v>63</v>
      </c>
      <c r="I263" s="7" t="s">
        <v>1004</v>
      </c>
      <c r="J263" s="7" t="s">
        <v>1633</v>
      </c>
      <c r="K263" s="7" t="s">
        <v>1634</v>
      </c>
      <c r="L263" s="12" t="s">
        <v>1635</v>
      </c>
      <c r="M263" s="7" t="s">
        <v>1636</v>
      </c>
    </row>
    <row r="264" customFormat="false" ht="35.05" hidden="false" customHeight="false" outlineLevel="0" collapsed="false">
      <c r="A264" s="13" t="n">
        <v>69</v>
      </c>
      <c r="B264" s="7" t="s">
        <v>1637</v>
      </c>
      <c r="C264" s="7" t="s">
        <v>1638</v>
      </c>
      <c r="D264" s="7" t="s">
        <v>1639</v>
      </c>
      <c r="E264" s="14" t="s">
        <v>210</v>
      </c>
      <c r="F264" s="7" t="s">
        <v>61</v>
      </c>
      <c r="G264" s="7" t="s">
        <v>1640</v>
      </c>
      <c r="H264" s="7" t="s">
        <v>1641</v>
      </c>
      <c r="I264" s="7" t="s">
        <v>63</v>
      </c>
      <c r="J264" s="7" t="s">
        <v>1642</v>
      </c>
      <c r="K264" s="7" t="s">
        <v>1643</v>
      </c>
      <c r="L264" s="12" t="s">
        <v>1644</v>
      </c>
      <c r="M264" s="7" t="s">
        <v>1645</v>
      </c>
    </row>
    <row r="265" customFormat="false" ht="35.05" hidden="false" customHeight="false" outlineLevel="0" collapsed="false">
      <c r="A265" s="13" t="n">
        <v>69</v>
      </c>
      <c r="B265" s="7" t="s">
        <v>1646</v>
      </c>
      <c r="C265" s="7" t="s">
        <v>1647</v>
      </c>
      <c r="D265" s="7" t="s">
        <v>1648</v>
      </c>
      <c r="E265" s="14" t="s">
        <v>210</v>
      </c>
      <c r="F265" s="7" t="s">
        <v>61</v>
      </c>
      <c r="G265" s="7" t="s">
        <v>1649</v>
      </c>
      <c r="H265" s="7" t="s">
        <v>63</v>
      </c>
      <c r="I265" s="7" t="s">
        <v>1650</v>
      </c>
      <c r="J265" s="7" t="s">
        <v>1651</v>
      </c>
      <c r="K265" s="7" t="s">
        <v>1652</v>
      </c>
      <c r="L265" s="12" t="s">
        <v>1653</v>
      </c>
      <c r="M265" s="7" t="s">
        <v>1654</v>
      </c>
    </row>
    <row r="266" customFormat="false" ht="35.05" hidden="false" customHeight="false" outlineLevel="0" collapsed="false">
      <c r="A266" s="13" t="n">
        <v>68</v>
      </c>
      <c r="B266" s="7" t="s">
        <v>1655</v>
      </c>
      <c r="C266" s="7" t="s">
        <v>1656</v>
      </c>
      <c r="D266" s="7" t="s">
        <v>1657</v>
      </c>
      <c r="E266" s="14" t="s">
        <v>210</v>
      </c>
      <c r="F266" s="7" t="s">
        <v>61</v>
      </c>
      <c r="G266" s="7" t="s">
        <v>1658</v>
      </c>
      <c r="H266" s="7" t="s">
        <v>63</v>
      </c>
      <c r="I266" s="7" t="s">
        <v>1004</v>
      </c>
      <c r="J266" s="7" t="s">
        <v>1659</v>
      </c>
      <c r="K266" s="7" t="s">
        <v>1660</v>
      </c>
      <c r="L266" s="12" t="s">
        <v>1661</v>
      </c>
      <c r="M266" s="7" t="s">
        <v>1662</v>
      </c>
    </row>
    <row r="267" customFormat="false" ht="23.85" hidden="false" customHeight="false" outlineLevel="0" collapsed="false">
      <c r="A267" s="13" t="n">
        <v>68</v>
      </c>
      <c r="B267" s="7" t="s">
        <v>1663</v>
      </c>
      <c r="C267" s="7" t="s">
        <v>1664</v>
      </c>
      <c r="D267" s="7" t="s">
        <v>1665</v>
      </c>
      <c r="E267" s="14" t="s">
        <v>210</v>
      </c>
      <c r="F267" s="7" t="s">
        <v>61</v>
      </c>
      <c r="G267" s="7" t="s">
        <v>1666</v>
      </c>
      <c r="H267" s="7" t="s">
        <v>63</v>
      </c>
      <c r="I267" s="7" t="s">
        <v>1484</v>
      </c>
      <c r="J267" s="7" t="s">
        <v>1667</v>
      </c>
      <c r="K267" s="7" t="s">
        <v>1668</v>
      </c>
      <c r="L267" s="12" t="s">
        <v>1669</v>
      </c>
      <c r="M267" s="7" t="s">
        <v>1670</v>
      </c>
    </row>
    <row r="268" customFormat="false" ht="46.25" hidden="false" customHeight="false" outlineLevel="0" collapsed="false">
      <c r="A268" s="10" t="n">
        <v>68</v>
      </c>
      <c r="B268" s="7" t="s">
        <v>1671</v>
      </c>
      <c r="C268" s="7" t="s">
        <v>1672</v>
      </c>
      <c r="D268" s="7" t="s">
        <v>168</v>
      </c>
      <c r="E268" s="11" t="s">
        <v>60</v>
      </c>
      <c r="F268" s="7" t="s">
        <v>61</v>
      </c>
      <c r="G268" s="7" t="s">
        <v>202</v>
      </c>
      <c r="H268" s="7" t="s">
        <v>1673</v>
      </c>
      <c r="I268" s="7" t="s">
        <v>63</v>
      </c>
      <c r="J268" s="7" t="s">
        <v>1674</v>
      </c>
      <c r="K268" s="7" t="s">
        <v>1675</v>
      </c>
      <c r="L268" s="12" t="s">
        <v>1676</v>
      </c>
      <c r="M268" s="7" t="s">
        <v>1677</v>
      </c>
    </row>
    <row r="269" customFormat="false" ht="46.25" hidden="false" customHeight="false" outlineLevel="0" collapsed="false">
      <c r="A269" s="13" t="n">
        <v>68</v>
      </c>
      <c r="B269" s="7" t="s">
        <v>1678</v>
      </c>
      <c r="C269" s="7" t="s">
        <v>1679</v>
      </c>
      <c r="D269" s="7" t="s">
        <v>1680</v>
      </c>
      <c r="E269" s="14" t="s">
        <v>210</v>
      </c>
      <c r="F269" s="7" t="s">
        <v>61</v>
      </c>
      <c r="G269" s="7" t="s">
        <v>1681</v>
      </c>
      <c r="H269" s="7" t="s">
        <v>63</v>
      </c>
      <c r="I269" s="7" t="s">
        <v>63</v>
      </c>
      <c r="J269" s="7" t="s">
        <v>1682</v>
      </c>
      <c r="K269" s="7" t="s">
        <v>1683</v>
      </c>
      <c r="L269" s="12" t="s">
        <v>1684</v>
      </c>
      <c r="M269" s="7" t="s">
        <v>1685</v>
      </c>
    </row>
    <row r="270" customFormat="false" ht="23.85" hidden="false" customHeight="false" outlineLevel="0" collapsed="false">
      <c r="A270" s="15" t="n">
        <v>68</v>
      </c>
      <c r="B270" s="7" t="s">
        <v>1686</v>
      </c>
      <c r="C270" s="7" t="s">
        <v>1687</v>
      </c>
      <c r="D270" s="7" t="s">
        <v>227</v>
      </c>
      <c r="E270" s="16" t="s">
        <v>333</v>
      </c>
      <c r="F270" s="7" t="s">
        <v>228</v>
      </c>
      <c r="G270" s="7" t="s">
        <v>228</v>
      </c>
      <c r="H270" s="7" t="s">
        <v>228</v>
      </c>
      <c r="I270" s="7" t="s">
        <v>229</v>
      </c>
      <c r="J270" s="7" t="s">
        <v>227</v>
      </c>
      <c r="K270" s="7" t="s">
        <v>227</v>
      </c>
      <c r="L270" s="12" t="s">
        <v>1688</v>
      </c>
      <c r="M270" s="7" t="s">
        <v>231</v>
      </c>
    </row>
    <row r="271" customFormat="false" ht="23.85" hidden="false" customHeight="false" outlineLevel="0" collapsed="false">
      <c r="A271" s="10" t="n">
        <v>68</v>
      </c>
      <c r="B271" s="7" t="s">
        <v>1689</v>
      </c>
      <c r="C271" s="7" t="s">
        <v>1690</v>
      </c>
      <c r="D271" s="7" t="s">
        <v>227</v>
      </c>
      <c r="E271" s="11" t="s">
        <v>60</v>
      </c>
      <c r="F271" s="7" t="s">
        <v>228</v>
      </c>
      <c r="G271" s="7" t="s">
        <v>228</v>
      </c>
      <c r="H271" s="7" t="s">
        <v>228</v>
      </c>
      <c r="I271" s="7" t="s">
        <v>229</v>
      </c>
      <c r="J271" s="7" t="s">
        <v>227</v>
      </c>
      <c r="K271" s="7" t="s">
        <v>227</v>
      </c>
      <c r="L271" s="12" t="s">
        <v>1691</v>
      </c>
      <c r="M271" s="7" t="s">
        <v>231</v>
      </c>
    </row>
    <row r="272" customFormat="false" ht="35.05" hidden="false" customHeight="false" outlineLevel="0" collapsed="false">
      <c r="A272" s="13" t="n">
        <v>68</v>
      </c>
      <c r="B272" s="7" t="s">
        <v>1692</v>
      </c>
      <c r="C272" s="7" t="s">
        <v>1693</v>
      </c>
      <c r="D272" s="7" t="s">
        <v>949</v>
      </c>
      <c r="E272" s="14" t="s">
        <v>210</v>
      </c>
      <c r="F272" s="7" t="s">
        <v>61</v>
      </c>
      <c r="G272" s="7" t="s">
        <v>350</v>
      </c>
      <c r="H272" s="7" t="s">
        <v>351</v>
      </c>
      <c r="I272" s="7" t="s">
        <v>352</v>
      </c>
      <c r="J272" s="7" t="s">
        <v>1694</v>
      </c>
      <c r="K272" s="7" t="s">
        <v>354</v>
      </c>
      <c r="L272" s="12" t="s">
        <v>1695</v>
      </c>
      <c r="M272" s="7" t="s">
        <v>356</v>
      </c>
    </row>
    <row r="273" customFormat="false" ht="46.25" hidden="false" customHeight="false" outlineLevel="0" collapsed="false">
      <c r="A273" s="13" t="n">
        <v>68</v>
      </c>
      <c r="B273" s="7" t="s">
        <v>1696</v>
      </c>
      <c r="C273" s="7" t="s">
        <v>1697</v>
      </c>
      <c r="D273" s="7" t="s">
        <v>1698</v>
      </c>
      <c r="E273" s="14" t="s">
        <v>210</v>
      </c>
      <c r="F273" s="7" t="s">
        <v>61</v>
      </c>
      <c r="G273" s="7" t="s">
        <v>1081</v>
      </c>
      <c r="H273" s="7" t="s">
        <v>63</v>
      </c>
      <c r="I273" s="7" t="s">
        <v>63</v>
      </c>
      <c r="J273" s="7" t="s">
        <v>1699</v>
      </c>
      <c r="K273" s="7" t="s">
        <v>1700</v>
      </c>
      <c r="L273" s="12" t="s">
        <v>1701</v>
      </c>
      <c r="M273" s="7" t="s">
        <v>1702</v>
      </c>
    </row>
    <row r="274" customFormat="false" ht="35.05" hidden="false" customHeight="false" outlineLevel="0" collapsed="false">
      <c r="A274" s="13" t="n">
        <v>67</v>
      </c>
      <c r="B274" s="7" t="s">
        <v>1703</v>
      </c>
      <c r="C274" s="7" t="s">
        <v>1704</v>
      </c>
      <c r="D274" s="7" t="s">
        <v>1705</v>
      </c>
      <c r="E274" s="14" t="s">
        <v>210</v>
      </c>
      <c r="F274" s="7" t="s">
        <v>61</v>
      </c>
      <c r="G274" s="7" t="s">
        <v>1044</v>
      </c>
      <c r="H274" s="7" t="s">
        <v>63</v>
      </c>
      <c r="I274" s="7" t="s">
        <v>63</v>
      </c>
      <c r="J274" s="7" t="s">
        <v>1706</v>
      </c>
      <c r="K274" s="7" t="s">
        <v>1707</v>
      </c>
      <c r="L274" s="12" t="s">
        <v>1708</v>
      </c>
      <c r="M274" s="7" t="s">
        <v>1709</v>
      </c>
    </row>
    <row r="275" customFormat="false" ht="23.85" hidden="false" customHeight="false" outlineLevel="0" collapsed="false">
      <c r="A275" s="13" t="n">
        <v>67</v>
      </c>
      <c r="B275" s="7" t="s">
        <v>1710</v>
      </c>
      <c r="C275" s="7" t="s">
        <v>1711</v>
      </c>
      <c r="D275" s="7" t="s">
        <v>227</v>
      </c>
      <c r="E275" s="14" t="s">
        <v>210</v>
      </c>
      <c r="F275" s="7" t="s">
        <v>228</v>
      </c>
      <c r="G275" s="7" t="s">
        <v>228</v>
      </c>
      <c r="H275" s="7" t="s">
        <v>228</v>
      </c>
      <c r="I275" s="7" t="s">
        <v>229</v>
      </c>
      <c r="J275" s="7" t="s">
        <v>227</v>
      </c>
      <c r="K275" s="7" t="s">
        <v>227</v>
      </c>
      <c r="L275" s="12" t="s">
        <v>1712</v>
      </c>
      <c r="M275" s="7" t="s">
        <v>231</v>
      </c>
    </row>
    <row r="276" customFormat="false" ht="35.05" hidden="false" customHeight="false" outlineLevel="0" collapsed="false">
      <c r="A276" s="13" t="n">
        <v>67</v>
      </c>
      <c r="B276" s="7" t="s">
        <v>1713</v>
      </c>
      <c r="C276" s="7" t="s">
        <v>1714</v>
      </c>
      <c r="D276" s="7" t="s">
        <v>1715</v>
      </c>
      <c r="E276" s="14" t="s">
        <v>210</v>
      </c>
      <c r="F276" s="7" t="s">
        <v>61</v>
      </c>
      <c r="G276" s="7" t="s">
        <v>438</v>
      </c>
      <c r="H276" s="7" t="s">
        <v>63</v>
      </c>
      <c r="I276" s="7" t="s">
        <v>1716</v>
      </c>
      <c r="J276" s="7" t="s">
        <v>1717</v>
      </c>
      <c r="K276" s="7" t="s">
        <v>1718</v>
      </c>
      <c r="L276" s="12" t="s">
        <v>1719</v>
      </c>
      <c r="M276" s="7" t="s">
        <v>1720</v>
      </c>
    </row>
    <row r="277" customFormat="false" ht="35.05" hidden="false" customHeight="false" outlineLevel="0" collapsed="false">
      <c r="A277" s="13" t="n">
        <v>66</v>
      </c>
      <c r="B277" s="7" t="s">
        <v>1721</v>
      </c>
      <c r="C277" s="7" t="s">
        <v>1722</v>
      </c>
      <c r="D277" s="7" t="s">
        <v>1723</v>
      </c>
      <c r="E277" s="14" t="s">
        <v>210</v>
      </c>
      <c r="F277" s="7" t="s">
        <v>61</v>
      </c>
      <c r="G277" s="7" t="s">
        <v>176</v>
      </c>
      <c r="H277" s="7" t="s">
        <v>1724</v>
      </c>
      <c r="I277" s="7" t="s">
        <v>63</v>
      </c>
      <c r="J277" s="7" t="s">
        <v>1725</v>
      </c>
      <c r="K277" s="7" t="s">
        <v>1726</v>
      </c>
      <c r="L277" s="12" t="s">
        <v>1727</v>
      </c>
      <c r="M277" s="7" t="s">
        <v>1728</v>
      </c>
    </row>
    <row r="278" customFormat="false" ht="35.05" hidden="false" customHeight="false" outlineLevel="0" collapsed="false">
      <c r="A278" s="13" t="n">
        <v>66</v>
      </c>
      <c r="B278" s="7" t="s">
        <v>1729</v>
      </c>
      <c r="C278" s="7" t="s">
        <v>1730</v>
      </c>
      <c r="D278" s="7" t="s">
        <v>1731</v>
      </c>
      <c r="E278" s="14" t="s">
        <v>210</v>
      </c>
      <c r="F278" s="7" t="s">
        <v>61</v>
      </c>
      <c r="G278" s="7" t="s">
        <v>1658</v>
      </c>
      <c r="H278" s="7" t="s">
        <v>63</v>
      </c>
      <c r="I278" s="7" t="s">
        <v>1732</v>
      </c>
      <c r="J278" s="7" t="s">
        <v>1733</v>
      </c>
      <c r="K278" s="7" t="s">
        <v>1734</v>
      </c>
      <c r="L278" s="12" t="s">
        <v>1735</v>
      </c>
      <c r="M278" s="7" t="s">
        <v>1736</v>
      </c>
    </row>
    <row r="279" customFormat="false" ht="46.25" hidden="false" customHeight="false" outlineLevel="0" collapsed="false">
      <c r="A279" s="13" t="n">
        <v>66</v>
      </c>
      <c r="B279" s="7" t="s">
        <v>1737</v>
      </c>
      <c r="C279" s="7" t="s">
        <v>1738</v>
      </c>
      <c r="D279" s="7" t="s">
        <v>1739</v>
      </c>
      <c r="E279" s="14" t="s">
        <v>210</v>
      </c>
      <c r="F279" s="7" t="s">
        <v>61</v>
      </c>
      <c r="G279" s="7" t="s">
        <v>1740</v>
      </c>
      <c r="H279" s="7" t="s">
        <v>63</v>
      </c>
      <c r="I279" s="7" t="s">
        <v>63</v>
      </c>
      <c r="J279" s="7" t="s">
        <v>1741</v>
      </c>
      <c r="K279" s="7" t="s">
        <v>1742</v>
      </c>
      <c r="L279" s="12" t="s">
        <v>1743</v>
      </c>
      <c r="M279" s="7" t="s">
        <v>1744</v>
      </c>
    </row>
    <row r="280" customFormat="false" ht="35.05" hidden="false" customHeight="false" outlineLevel="0" collapsed="false">
      <c r="A280" s="13" t="n">
        <v>66</v>
      </c>
      <c r="B280" s="7" t="s">
        <v>1745</v>
      </c>
      <c r="C280" s="7" t="s">
        <v>1746</v>
      </c>
      <c r="D280" s="7" t="s">
        <v>1747</v>
      </c>
      <c r="E280" s="14" t="s">
        <v>210</v>
      </c>
      <c r="F280" s="7" t="s">
        <v>61</v>
      </c>
      <c r="G280" s="7" t="s">
        <v>1748</v>
      </c>
      <c r="H280" s="7" t="s">
        <v>63</v>
      </c>
      <c r="I280" s="7" t="s">
        <v>1749</v>
      </c>
      <c r="J280" s="7" t="s">
        <v>1750</v>
      </c>
      <c r="K280" s="7" t="s">
        <v>1751</v>
      </c>
      <c r="L280" s="12" t="s">
        <v>1752</v>
      </c>
      <c r="M280" s="7" t="s">
        <v>1753</v>
      </c>
    </row>
    <row r="281" customFormat="false" ht="46.25" hidden="false" customHeight="false" outlineLevel="0" collapsed="false">
      <c r="A281" s="13" t="n">
        <v>66</v>
      </c>
      <c r="B281" s="7" t="s">
        <v>1754</v>
      </c>
      <c r="C281" s="7" t="s">
        <v>1755</v>
      </c>
      <c r="D281" s="7" t="s">
        <v>1756</v>
      </c>
      <c r="E281" s="14" t="s">
        <v>210</v>
      </c>
      <c r="F281" s="7" t="s">
        <v>61</v>
      </c>
      <c r="G281" s="7" t="s">
        <v>1757</v>
      </c>
      <c r="H281" s="7" t="s">
        <v>63</v>
      </c>
      <c r="I281" s="7" t="s">
        <v>832</v>
      </c>
      <c r="J281" s="7" t="s">
        <v>1758</v>
      </c>
      <c r="K281" s="7" t="s">
        <v>1759</v>
      </c>
      <c r="L281" s="12" t="s">
        <v>1760</v>
      </c>
      <c r="M281" s="7" t="s">
        <v>1761</v>
      </c>
    </row>
    <row r="282" customFormat="false" ht="23.85" hidden="false" customHeight="false" outlineLevel="0" collapsed="false">
      <c r="A282" s="13" t="n">
        <v>66</v>
      </c>
      <c r="B282" s="7" t="s">
        <v>1762</v>
      </c>
      <c r="C282" s="7" t="s">
        <v>1763</v>
      </c>
      <c r="D282" s="7" t="s">
        <v>227</v>
      </c>
      <c r="E282" s="14" t="s">
        <v>210</v>
      </c>
      <c r="F282" s="7" t="s">
        <v>228</v>
      </c>
      <c r="G282" s="7" t="s">
        <v>228</v>
      </c>
      <c r="H282" s="7" t="s">
        <v>228</v>
      </c>
      <c r="I282" s="7" t="s">
        <v>229</v>
      </c>
      <c r="J282" s="7" t="s">
        <v>227</v>
      </c>
      <c r="K282" s="7" t="s">
        <v>227</v>
      </c>
      <c r="L282" s="12" t="s">
        <v>1764</v>
      </c>
      <c r="M282" s="7" t="s">
        <v>231</v>
      </c>
    </row>
    <row r="283" customFormat="false" ht="23.85" hidden="false" customHeight="false" outlineLevel="0" collapsed="false">
      <c r="A283" s="10" t="n">
        <v>66</v>
      </c>
      <c r="B283" s="7" t="s">
        <v>1765</v>
      </c>
      <c r="C283" s="7" t="s">
        <v>1766</v>
      </c>
      <c r="D283" s="7" t="s">
        <v>227</v>
      </c>
      <c r="E283" s="11" t="s">
        <v>60</v>
      </c>
      <c r="F283" s="7" t="s">
        <v>228</v>
      </c>
      <c r="G283" s="7" t="s">
        <v>228</v>
      </c>
      <c r="H283" s="7" t="s">
        <v>228</v>
      </c>
      <c r="I283" s="7" t="s">
        <v>229</v>
      </c>
      <c r="J283" s="7" t="s">
        <v>227</v>
      </c>
      <c r="K283" s="7" t="s">
        <v>227</v>
      </c>
      <c r="L283" s="12" t="s">
        <v>1767</v>
      </c>
      <c r="M283" s="7" t="s">
        <v>231</v>
      </c>
    </row>
    <row r="284" customFormat="false" ht="23.85" hidden="false" customHeight="false" outlineLevel="0" collapsed="false">
      <c r="A284" s="10" t="n">
        <v>66</v>
      </c>
      <c r="B284" s="7" t="s">
        <v>1768</v>
      </c>
      <c r="C284" s="7" t="s">
        <v>1127</v>
      </c>
      <c r="D284" s="7" t="s">
        <v>227</v>
      </c>
      <c r="E284" s="11" t="s">
        <v>60</v>
      </c>
      <c r="F284" s="7" t="s">
        <v>228</v>
      </c>
      <c r="G284" s="7" t="s">
        <v>228</v>
      </c>
      <c r="H284" s="7" t="s">
        <v>228</v>
      </c>
      <c r="I284" s="7" t="s">
        <v>229</v>
      </c>
      <c r="J284" s="7" t="s">
        <v>227</v>
      </c>
      <c r="K284" s="7" t="s">
        <v>227</v>
      </c>
      <c r="L284" s="12" t="s">
        <v>1769</v>
      </c>
      <c r="M284" s="7" t="s">
        <v>231</v>
      </c>
    </row>
    <row r="285" customFormat="false" ht="35.05" hidden="false" customHeight="false" outlineLevel="0" collapsed="false">
      <c r="A285" s="10" t="n">
        <v>66</v>
      </c>
      <c r="B285" s="7" t="s">
        <v>1770</v>
      </c>
      <c r="C285" s="7" t="s">
        <v>1771</v>
      </c>
      <c r="D285" s="7" t="s">
        <v>1772</v>
      </c>
      <c r="E285" s="11" t="s">
        <v>60</v>
      </c>
      <c r="F285" s="7" t="s">
        <v>61</v>
      </c>
      <c r="G285" s="7" t="s">
        <v>937</v>
      </c>
      <c r="H285" s="7" t="s">
        <v>351</v>
      </c>
      <c r="I285" s="7" t="s">
        <v>1773</v>
      </c>
      <c r="J285" s="7" t="s">
        <v>1774</v>
      </c>
      <c r="K285" s="7" t="s">
        <v>354</v>
      </c>
      <c r="L285" s="12" t="s">
        <v>1775</v>
      </c>
      <c r="M285" s="7" t="s">
        <v>356</v>
      </c>
    </row>
    <row r="286" customFormat="false" ht="35.05" hidden="false" customHeight="false" outlineLevel="0" collapsed="false">
      <c r="A286" s="13" t="n">
        <v>66</v>
      </c>
      <c r="B286" s="7" t="s">
        <v>1776</v>
      </c>
      <c r="C286" s="7" t="s">
        <v>1777</v>
      </c>
      <c r="D286" s="7" t="s">
        <v>1778</v>
      </c>
      <c r="E286" s="14" t="s">
        <v>210</v>
      </c>
      <c r="F286" s="7" t="s">
        <v>61</v>
      </c>
      <c r="G286" s="7" t="s">
        <v>937</v>
      </c>
      <c r="H286" s="7" t="s">
        <v>351</v>
      </c>
      <c r="I286" s="7" t="s">
        <v>1147</v>
      </c>
      <c r="J286" s="7" t="s">
        <v>1133</v>
      </c>
      <c r="K286" s="7" t="s">
        <v>354</v>
      </c>
      <c r="L286" s="12" t="s">
        <v>1779</v>
      </c>
      <c r="M286" s="7" t="s">
        <v>356</v>
      </c>
    </row>
    <row r="287" customFormat="false" ht="35.05" hidden="false" customHeight="false" outlineLevel="0" collapsed="false">
      <c r="A287" s="13" t="n">
        <v>66</v>
      </c>
      <c r="B287" s="7" t="s">
        <v>1780</v>
      </c>
      <c r="C287" s="7" t="s">
        <v>1781</v>
      </c>
      <c r="D287" s="7" t="s">
        <v>1782</v>
      </c>
      <c r="E287" s="14" t="s">
        <v>210</v>
      </c>
      <c r="F287" s="7" t="s">
        <v>61</v>
      </c>
      <c r="G287" s="7" t="s">
        <v>350</v>
      </c>
      <c r="H287" s="7" t="s">
        <v>351</v>
      </c>
      <c r="I287" s="7" t="s">
        <v>352</v>
      </c>
      <c r="J287" s="7" t="s">
        <v>461</v>
      </c>
      <c r="K287" s="7" t="s">
        <v>354</v>
      </c>
      <c r="L287" s="12" t="s">
        <v>1783</v>
      </c>
      <c r="M287" s="7" t="s">
        <v>356</v>
      </c>
    </row>
    <row r="288" customFormat="false" ht="35.05" hidden="false" customHeight="false" outlineLevel="0" collapsed="false">
      <c r="A288" s="13" t="n">
        <v>66</v>
      </c>
      <c r="B288" s="7" t="s">
        <v>1784</v>
      </c>
      <c r="C288" s="7" t="s">
        <v>1785</v>
      </c>
      <c r="D288" s="7" t="s">
        <v>1786</v>
      </c>
      <c r="E288" s="14" t="s">
        <v>210</v>
      </c>
      <c r="F288" s="7" t="s">
        <v>61</v>
      </c>
      <c r="G288" s="7" t="s">
        <v>350</v>
      </c>
      <c r="H288" s="7" t="s">
        <v>351</v>
      </c>
      <c r="I288" s="7" t="s">
        <v>587</v>
      </c>
      <c r="J288" s="7" t="s">
        <v>1787</v>
      </c>
      <c r="K288" s="7" t="s">
        <v>589</v>
      </c>
      <c r="L288" s="12" t="s">
        <v>1788</v>
      </c>
      <c r="M288" s="7" t="s">
        <v>591</v>
      </c>
    </row>
    <row r="289" customFormat="false" ht="46.25" hidden="false" customHeight="false" outlineLevel="0" collapsed="false">
      <c r="A289" s="13" t="n">
        <v>66</v>
      </c>
      <c r="B289" s="7" t="s">
        <v>1789</v>
      </c>
      <c r="C289" s="7" t="s">
        <v>1790</v>
      </c>
      <c r="D289" s="7" t="s">
        <v>1791</v>
      </c>
      <c r="E289" s="14" t="s">
        <v>210</v>
      </c>
      <c r="F289" s="7" t="s">
        <v>61</v>
      </c>
      <c r="G289" s="7" t="s">
        <v>1792</v>
      </c>
      <c r="H289" s="7" t="s">
        <v>1793</v>
      </c>
      <c r="I289" s="7" t="s">
        <v>63</v>
      </c>
      <c r="J289" s="7" t="s">
        <v>1794</v>
      </c>
      <c r="K289" s="7" t="s">
        <v>1795</v>
      </c>
      <c r="L289" s="12" t="s">
        <v>1796</v>
      </c>
      <c r="M289" s="7" t="s">
        <v>1797</v>
      </c>
    </row>
    <row r="290" customFormat="false" ht="35.05" hidden="false" customHeight="false" outlineLevel="0" collapsed="false">
      <c r="A290" s="13" t="n">
        <v>65</v>
      </c>
      <c r="B290" s="7" t="s">
        <v>1024</v>
      </c>
      <c r="C290" s="7" t="s">
        <v>1798</v>
      </c>
      <c r="D290" s="7" t="s">
        <v>1799</v>
      </c>
      <c r="E290" s="14" t="s">
        <v>210</v>
      </c>
      <c r="F290" s="7" t="s">
        <v>61</v>
      </c>
      <c r="G290" s="7" t="s">
        <v>176</v>
      </c>
      <c r="H290" s="7" t="s">
        <v>1800</v>
      </c>
      <c r="I290" s="7" t="s">
        <v>1801</v>
      </c>
      <c r="J290" s="7" t="s">
        <v>1802</v>
      </c>
      <c r="K290" s="7" t="s">
        <v>1803</v>
      </c>
      <c r="L290" s="12" t="s">
        <v>1804</v>
      </c>
      <c r="M290" s="7" t="s">
        <v>1805</v>
      </c>
    </row>
    <row r="291" customFormat="false" ht="46.25" hidden="false" customHeight="false" outlineLevel="0" collapsed="false">
      <c r="A291" s="10" t="n">
        <v>65</v>
      </c>
      <c r="B291" s="7" t="s">
        <v>1806</v>
      </c>
      <c r="C291" s="7" t="s">
        <v>1807</v>
      </c>
      <c r="D291" s="7" t="s">
        <v>1808</v>
      </c>
      <c r="E291" s="11" t="s">
        <v>60</v>
      </c>
      <c r="F291" s="7" t="s">
        <v>61</v>
      </c>
      <c r="G291" s="7" t="s">
        <v>1809</v>
      </c>
      <c r="H291" s="7" t="s">
        <v>63</v>
      </c>
      <c r="I291" s="7" t="s">
        <v>63</v>
      </c>
      <c r="J291" s="7" t="s">
        <v>1810</v>
      </c>
      <c r="K291" s="7" t="s">
        <v>1811</v>
      </c>
      <c r="L291" s="12" t="s">
        <v>1812</v>
      </c>
      <c r="M291" s="7" t="s">
        <v>1813</v>
      </c>
    </row>
    <row r="292" customFormat="false" ht="35.05" hidden="false" customHeight="false" outlineLevel="0" collapsed="false">
      <c r="A292" s="13" t="n">
        <v>65</v>
      </c>
      <c r="B292" s="7" t="s">
        <v>1814</v>
      </c>
      <c r="C292" s="7" t="s">
        <v>1815</v>
      </c>
      <c r="D292" s="7" t="s">
        <v>1816</v>
      </c>
      <c r="E292" s="14" t="s">
        <v>210</v>
      </c>
      <c r="F292" s="7" t="s">
        <v>61</v>
      </c>
      <c r="G292" s="7" t="s">
        <v>63</v>
      </c>
      <c r="H292" s="7" t="s">
        <v>63</v>
      </c>
      <c r="I292" s="7" t="s">
        <v>1817</v>
      </c>
      <c r="J292" s="7" t="s">
        <v>1818</v>
      </c>
      <c r="K292" s="7" t="s">
        <v>1819</v>
      </c>
      <c r="L292" s="12" t="s">
        <v>1820</v>
      </c>
      <c r="M292" s="7" t="s">
        <v>1821</v>
      </c>
    </row>
    <row r="293" customFormat="false" ht="35.05" hidden="false" customHeight="false" outlineLevel="0" collapsed="false">
      <c r="A293" s="13" t="n">
        <v>65</v>
      </c>
      <c r="B293" s="7" t="s">
        <v>1822</v>
      </c>
      <c r="C293" s="7" t="s">
        <v>1823</v>
      </c>
      <c r="D293" s="7" t="s">
        <v>1824</v>
      </c>
      <c r="E293" s="14" t="s">
        <v>210</v>
      </c>
      <c r="F293" s="7" t="s">
        <v>61</v>
      </c>
      <c r="G293" s="7" t="s">
        <v>1825</v>
      </c>
      <c r="H293" s="7" t="s">
        <v>63</v>
      </c>
      <c r="I293" s="7" t="s">
        <v>913</v>
      </c>
      <c r="J293" s="7" t="s">
        <v>1826</v>
      </c>
      <c r="K293" s="7" t="s">
        <v>1827</v>
      </c>
      <c r="L293" s="12" t="s">
        <v>1828</v>
      </c>
      <c r="M293" s="7" t="s">
        <v>1829</v>
      </c>
    </row>
    <row r="294" customFormat="false" ht="57.45" hidden="false" customHeight="false" outlineLevel="0" collapsed="false">
      <c r="A294" s="15" t="n">
        <v>65</v>
      </c>
      <c r="B294" s="7" t="s">
        <v>417</v>
      </c>
      <c r="C294" s="7" t="s">
        <v>1830</v>
      </c>
      <c r="D294" s="7" t="s">
        <v>1831</v>
      </c>
      <c r="E294" s="16" t="s">
        <v>333</v>
      </c>
      <c r="F294" s="7" t="s">
        <v>61</v>
      </c>
      <c r="G294" s="7" t="s">
        <v>1832</v>
      </c>
      <c r="H294" s="7" t="s">
        <v>63</v>
      </c>
      <c r="I294" s="7" t="s">
        <v>1374</v>
      </c>
      <c r="J294" s="7" t="s">
        <v>1833</v>
      </c>
      <c r="K294" s="7" t="s">
        <v>1834</v>
      </c>
      <c r="L294" s="12" t="s">
        <v>1835</v>
      </c>
      <c r="M294" s="7" t="s">
        <v>1836</v>
      </c>
    </row>
    <row r="295" customFormat="false" ht="23.85" hidden="false" customHeight="false" outlineLevel="0" collapsed="false">
      <c r="A295" s="15" t="n">
        <v>65</v>
      </c>
      <c r="B295" s="7" t="s">
        <v>963</v>
      </c>
      <c r="C295" s="7" t="s">
        <v>1837</v>
      </c>
      <c r="D295" s="7" t="s">
        <v>1838</v>
      </c>
      <c r="E295" s="16" t="s">
        <v>333</v>
      </c>
      <c r="F295" s="7" t="s">
        <v>61</v>
      </c>
      <c r="G295" s="7" t="s">
        <v>1839</v>
      </c>
      <c r="H295" s="7" t="s">
        <v>63</v>
      </c>
      <c r="I295" s="7" t="s">
        <v>63</v>
      </c>
      <c r="J295" s="7" t="s">
        <v>1840</v>
      </c>
      <c r="K295" s="7" t="s">
        <v>1841</v>
      </c>
      <c r="L295" s="12" t="s">
        <v>1842</v>
      </c>
      <c r="M295" s="7" t="s">
        <v>1843</v>
      </c>
    </row>
    <row r="296" customFormat="false" ht="35.05" hidden="false" customHeight="false" outlineLevel="0" collapsed="false">
      <c r="A296" s="15" t="n">
        <v>65</v>
      </c>
      <c r="B296" s="7" t="s">
        <v>1844</v>
      </c>
      <c r="C296" s="7" t="s">
        <v>1845</v>
      </c>
      <c r="D296" s="7" t="s">
        <v>1846</v>
      </c>
      <c r="E296" s="16" t="s">
        <v>333</v>
      </c>
      <c r="F296" s="7" t="s">
        <v>61</v>
      </c>
      <c r="G296" s="7" t="s">
        <v>1847</v>
      </c>
      <c r="H296" s="7" t="s">
        <v>1848</v>
      </c>
      <c r="I296" s="7" t="s">
        <v>63</v>
      </c>
      <c r="J296" s="7" t="s">
        <v>1849</v>
      </c>
      <c r="K296" s="7" t="s">
        <v>1850</v>
      </c>
      <c r="L296" s="12" t="s">
        <v>1851</v>
      </c>
      <c r="M296" s="7" t="s">
        <v>1852</v>
      </c>
    </row>
    <row r="297" customFormat="false" ht="23.85" hidden="false" customHeight="false" outlineLevel="0" collapsed="false">
      <c r="A297" s="10" t="n">
        <v>65</v>
      </c>
      <c r="B297" s="7" t="s">
        <v>1853</v>
      </c>
      <c r="C297" s="7" t="s">
        <v>1854</v>
      </c>
      <c r="D297" s="7" t="s">
        <v>227</v>
      </c>
      <c r="E297" s="11" t="s">
        <v>60</v>
      </c>
      <c r="F297" s="7" t="s">
        <v>228</v>
      </c>
      <c r="G297" s="7" t="s">
        <v>228</v>
      </c>
      <c r="H297" s="7" t="s">
        <v>228</v>
      </c>
      <c r="I297" s="7" t="s">
        <v>229</v>
      </c>
      <c r="J297" s="7" t="s">
        <v>227</v>
      </c>
      <c r="K297" s="7" t="s">
        <v>227</v>
      </c>
      <c r="L297" s="12" t="s">
        <v>1855</v>
      </c>
      <c r="M297" s="7" t="s">
        <v>231</v>
      </c>
    </row>
    <row r="298" customFormat="false" ht="35.05" hidden="false" customHeight="false" outlineLevel="0" collapsed="false">
      <c r="A298" s="15" t="n">
        <v>65</v>
      </c>
      <c r="B298" s="7" t="s">
        <v>1856</v>
      </c>
      <c r="C298" s="7" t="s">
        <v>1857</v>
      </c>
      <c r="D298" s="7" t="s">
        <v>1858</v>
      </c>
      <c r="E298" s="16" t="s">
        <v>333</v>
      </c>
      <c r="F298" s="7" t="s">
        <v>61</v>
      </c>
      <c r="G298" s="7" t="s">
        <v>1859</v>
      </c>
      <c r="H298" s="7" t="s">
        <v>351</v>
      </c>
      <c r="I298" s="7" t="s">
        <v>1860</v>
      </c>
      <c r="J298" s="7" t="s">
        <v>1133</v>
      </c>
      <c r="K298" s="7" t="s">
        <v>354</v>
      </c>
      <c r="L298" s="12" t="s">
        <v>1861</v>
      </c>
      <c r="M298" s="7" t="s">
        <v>356</v>
      </c>
    </row>
    <row r="299" customFormat="false" ht="35.05" hidden="false" customHeight="false" outlineLevel="0" collapsed="false">
      <c r="A299" s="15" t="n">
        <v>65</v>
      </c>
      <c r="B299" s="7" t="s">
        <v>1862</v>
      </c>
      <c r="C299" s="7" t="s">
        <v>1863</v>
      </c>
      <c r="D299" s="7" t="s">
        <v>943</v>
      </c>
      <c r="E299" s="16" t="s">
        <v>333</v>
      </c>
      <c r="F299" s="7" t="s">
        <v>61</v>
      </c>
      <c r="G299" s="7" t="s">
        <v>1864</v>
      </c>
      <c r="H299" s="7" t="s">
        <v>351</v>
      </c>
      <c r="I299" s="7" t="s">
        <v>1865</v>
      </c>
      <c r="J299" s="7" t="s">
        <v>1133</v>
      </c>
      <c r="K299" s="7" t="s">
        <v>354</v>
      </c>
      <c r="L299" s="12" t="s">
        <v>1866</v>
      </c>
      <c r="M299" s="7" t="s">
        <v>356</v>
      </c>
    </row>
    <row r="300" customFormat="false" ht="35.05" hidden="false" customHeight="false" outlineLevel="0" collapsed="false">
      <c r="A300" s="15" t="n">
        <v>65</v>
      </c>
      <c r="B300" s="7" t="s">
        <v>1867</v>
      </c>
      <c r="C300" s="7" t="s">
        <v>1868</v>
      </c>
      <c r="D300" s="7" t="s">
        <v>1858</v>
      </c>
      <c r="E300" s="16" t="s">
        <v>333</v>
      </c>
      <c r="F300" s="7" t="s">
        <v>61</v>
      </c>
      <c r="G300" s="7" t="s">
        <v>1869</v>
      </c>
      <c r="H300" s="7" t="s">
        <v>351</v>
      </c>
      <c r="I300" s="7" t="s">
        <v>1860</v>
      </c>
      <c r="J300" s="7" t="s">
        <v>1133</v>
      </c>
      <c r="K300" s="7" t="s">
        <v>354</v>
      </c>
      <c r="L300" s="12" t="s">
        <v>1870</v>
      </c>
      <c r="M300" s="7" t="s">
        <v>356</v>
      </c>
    </row>
    <row r="301" customFormat="false" ht="46.25" hidden="false" customHeight="false" outlineLevel="0" collapsed="false">
      <c r="A301" s="13" t="n">
        <v>65</v>
      </c>
      <c r="B301" s="7" t="s">
        <v>1871</v>
      </c>
      <c r="C301" s="7" t="s">
        <v>1872</v>
      </c>
      <c r="D301" s="7" t="s">
        <v>1873</v>
      </c>
      <c r="E301" s="14" t="s">
        <v>210</v>
      </c>
      <c r="F301" s="7" t="s">
        <v>61</v>
      </c>
      <c r="G301" s="7" t="s">
        <v>1874</v>
      </c>
      <c r="H301" s="7" t="s">
        <v>63</v>
      </c>
      <c r="I301" s="7" t="s">
        <v>63</v>
      </c>
      <c r="J301" s="7" t="s">
        <v>1875</v>
      </c>
      <c r="K301" s="7" t="s">
        <v>1876</v>
      </c>
      <c r="L301" s="12" t="s">
        <v>1877</v>
      </c>
      <c r="M301" s="7" t="s">
        <v>1878</v>
      </c>
    </row>
    <row r="302" customFormat="false" ht="35.05" hidden="false" customHeight="false" outlineLevel="0" collapsed="false">
      <c r="A302" s="10" t="n">
        <v>64</v>
      </c>
      <c r="B302" s="7" t="s">
        <v>1879</v>
      </c>
      <c r="C302" s="7" t="s">
        <v>1880</v>
      </c>
      <c r="D302" s="7" t="s">
        <v>1881</v>
      </c>
      <c r="E302" s="11" t="s">
        <v>60</v>
      </c>
      <c r="F302" s="7" t="s">
        <v>61</v>
      </c>
      <c r="G302" s="7" t="s">
        <v>63</v>
      </c>
      <c r="H302" s="7" t="s">
        <v>63</v>
      </c>
      <c r="I302" s="7" t="s">
        <v>63</v>
      </c>
      <c r="J302" s="7" t="s">
        <v>1882</v>
      </c>
      <c r="K302" s="7" t="s">
        <v>1883</v>
      </c>
      <c r="L302" s="12" t="s">
        <v>1884</v>
      </c>
      <c r="M302" s="7" t="s">
        <v>1885</v>
      </c>
    </row>
    <row r="303" customFormat="false" ht="23.85" hidden="false" customHeight="false" outlineLevel="0" collapsed="false">
      <c r="A303" s="10" t="n">
        <v>64</v>
      </c>
      <c r="B303" s="7" t="s">
        <v>1886</v>
      </c>
      <c r="C303" s="7" t="s">
        <v>1887</v>
      </c>
      <c r="D303" s="7" t="s">
        <v>227</v>
      </c>
      <c r="E303" s="11" t="s">
        <v>60</v>
      </c>
      <c r="F303" s="7" t="s">
        <v>228</v>
      </c>
      <c r="G303" s="7" t="s">
        <v>228</v>
      </c>
      <c r="H303" s="7" t="s">
        <v>228</v>
      </c>
      <c r="I303" s="7" t="s">
        <v>229</v>
      </c>
      <c r="J303" s="7" t="s">
        <v>227</v>
      </c>
      <c r="K303" s="7" t="s">
        <v>227</v>
      </c>
      <c r="L303" s="12" t="s">
        <v>1888</v>
      </c>
      <c r="M303" s="7" t="s">
        <v>231</v>
      </c>
    </row>
    <row r="304" customFormat="false" ht="35.05" hidden="false" customHeight="false" outlineLevel="0" collapsed="false">
      <c r="A304" s="13" t="n">
        <v>64</v>
      </c>
      <c r="B304" s="7" t="s">
        <v>1889</v>
      </c>
      <c r="C304" s="7" t="s">
        <v>1890</v>
      </c>
      <c r="D304" s="7" t="s">
        <v>1891</v>
      </c>
      <c r="E304" s="14" t="s">
        <v>210</v>
      </c>
      <c r="F304" s="7" t="s">
        <v>61</v>
      </c>
      <c r="G304" s="7" t="s">
        <v>1428</v>
      </c>
      <c r="H304" s="7" t="s">
        <v>351</v>
      </c>
      <c r="I304" s="7" t="s">
        <v>1217</v>
      </c>
      <c r="J304" s="7" t="s">
        <v>1892</v>
      </c>
      <c r="K304" s="7" t="s">
        <v>354</v>
      </c>
      <c r="L304" s="12" t="s">
        <v>1893</v>
      </c>
      <c r="M304" s="7" t="s">
        <v>356</v>
      </c>
    </row>
    <row r="305" customFormat="false" ht="35.05" hidden="false" customHeight="false" outlineLevel="0" collapsed="false">
      <c r="A305" s="13" t="n">
        <v>64</v>
      </c>
      <c r="B305" s="7" t="s">
        <v>1894</v>
      </c>
      <c r="C305" s="7" t="s">
        <v>1895</v>
      </c>
      <c r="D305" s="7" t="s">
        <v>1896</v>
      </c>
      <c r="E305" s="14" t="s">
        <v>210</v>
      </c>
      <c r="F305" s="7" t="s">
        <v>61</v>
      </c>
      <c r="G305" s="7" t="s">
        <v>1428</v>
      </c>
      <c r="H305" s="7" t="s">
        <v>351</v>
      </c>
      <c r="I305" s="7" t="s">
        <v>1132</v>
      </c>
      <c r="J305" s="7" t="s">
        <v>1897</v>
      </c>
      <c r="K305" s="7" t="s">
        <v>354</v>
      </c>
      <c r="L305" s="12" t="s">
        <v>1898</v>
      </c>
      <c r="M305" s="7" t="s">
        <v>356</v>
      </c>
    </row>
    <row r="306" customFormat="false" ht="35.05" hidden="false" customHeight="false" outlineLevel="0" collapsed="false">
      <c r="A306" s="13" t="n">
        <v>64</v>
      </c>
      <c r="B306" s="7" t="s">
        <v>1894</v>
      </c>
      <c r="C306" s="7" t="s">
        <v>1899</v>
      </c>
      <c r="D306" s="7" t="s">
        <v>1896</v>
      </c>
      <c r="E306" s="14" t="s">
        <v>210</v>
      </c>
      <c r="F306" s="7" t="s">
        <v>61</v>
      </c>
      <c r="G306" s="7" t="s">
        <v>1428</v>
      </c>
      <c r="H306" s="7" t="s">
        <v>351</v>
      </c>
      <c r="I306" s="7" t="s">
        <v>1132</v>
      </c>
      <c r="J306" s="7" t="s">
        <v>1900</v>
      </c>
      <c r="K306" s="7" t="s">
        <v>354</v>
      </c>
      <c r="L306" s="12" t="s">
        <v>1901</v>
      </c>
      <c r="M306" s="7" t="s">
        <v>356</v>
      </c>
    </row>
    <row r="307" customFormat="false" ht="35.05" hidden="false" customHeight="false" outlineLevel="0" collapsed="false">
      <c r="A307" s="13" t="n">
        <v>64</v>
      </c>
      <c r="B307" s="7" t="s">
        <v>1902</v>
      </c>
      <c r="C307" s="7" t="s">
        <v>1903</v>
      </c>
      <c r="D307" s="7" t="s">
        <v>1904</v>
      </c>
      <c r="E307" s="14" t="s">
        <v>210</v>
      </c>
      <c r="F307" s="7" t="s">
        <v>61</v>
      </c>
      <c r="G307" s="7" t="s">
        <v>350</v>
      </c>
      <c r="H307" s="7" t="s">
        <v>351</v>
      </c>
      <c r="I307" s="7" t="s">
        <v>352</v>
      </c>
      <c r="J307" s="7" t="s">
        <v>1905</v>
      </c>
      <c r="K307" s="7" t="s">
        <v>354</v>
      </c>
      <c r="L307" s="12" t="s">
        <v>1906</v>
      </c>
      <c r="M307" s="7" t="s">
        <v>356</v>
      </c>
    </row>
    <row r="308" customFormat="false" ht="35.05" hidden="false" customHeight="false" outlineLevel="0" collapsed="false">
      <c r="A308" s="13" t="n">
        <v>63</v>
      </c>
      <c r="B308" s="7" t="s">
        <v>1907</v>
      </c>
      <c r="C308" s="7" t="s">
        <v>1908</v>
      </c>
      <c r="D308" s="7" t="s">
        <v>1909</v>
      </c>
      <c r="E308" s="14" t="s">
        <v>210</v>
      </c>
      <c r="F308" s="7" t="s">
        <v>61</v>
      </c>
      <c r="G308" s="7" t="s">
        <v>1910</v>
      </c>
      <c r="H308" s="7" t="s">
        <v>63</v>
      </c>
      <c r="I308" s="7" t="s">
        <v>63</v>
      </c>
      <c r="J308" s="7" t="s">
        <v>1911</v>
      </c>
      <c r="K308" s="7" t="s">
        <v>1912</v>
      </c>
      <c r="L308" s="12" t="s">
        <v>1913</v>
      </c>
      <c r="M308" s="7" t="s">
        <v>1914</v>
      </c>
    </row>
    <row r="309" customFormat="false" ht="35.05" hidden="false" customHeight="false" outlineLevel="0" collapsed="false">
      <c r="A309" s="13" t="n">
        <v>63</v>
      </c>
      <c r="B309" s="7" t="s">
        <v>1915</v>
      </c>
      <c r="C309" s="7" t="s">
        <v>1916</v>
      </c>
      <c r="D309" s="7" t="s">
        <v>1917</v>
      </c>
      <c r="E309" s="14" t="s">
        <v>210</v>
      </c>
      <c r="F309" s="7" t="s">
        <v>61</v>
      </c>
      <c r="G309" s="7" t="s">
        <v>63</v>
      </c>
      <c r="H309" s="7" t="s">
        <v>1918</v>
      </c>
      <c r="I309" s="7" t="s">
        <v>1919</v>
      </c>
      <c r="J309" s="7" t="s">
        <v>1920</v>
      </c>
      <c r="K309" s="7" t="s">
        <v>1921</v>
      </c>
      <c r="L309" s="12" t="s">
        <v>1922</v>
      </c>
      <c r="M309" s="7" t="s">
        <v>1923</v>
      </c>
    </row>
    <row r="310" customFormat="false" ht="23.85" hidden="false" customHeight="false" outlineLevel="0" collapsed="false">
      <c r="A310" s="10" t="n">
        <v>63</v>
      </c>
      <c r="B310" s="7" t="s">
        <v>1924</v>
      </c>
      <c r="C310" s="7" t="s">
        <v>1925</v>
      </c>
      <c r="D310" s="7" t="s">
        <v>227</v>
      </c>
      <c r="E310" s="11" t="s">
        <v>60</v>
      </c>
      <c r="F310" s="7" t="s">
        <v>228</v>
      </c>
      <c r="G310" s="7" t="s">
        <v>228</v>
      </c>
      <c r="H310" s="7" t="s">
        <v>228</v>
      </c>
      <c r="I310" s="7" t="s">
        <v>229</v>
      </c>
      <c r="J310" s="7" t="s">
        <v>227</v>
      </c>
      <c r="K310" s="7" t="s">
        <v>227</v>
      </c>
      <c r="L310" s="12" t="s">
        <v>1926</v>
      </c>
      <c r="M310" s="7" t="s">
        <v>231</v>
      </c>
    </row>
    <row r="311" customFormat="false" ht="23.85" hidden="false" customHeight="false" outlineLevel="0" collapsed="false">
      <c r="A311" s="10" t="n">
        <v>63</v>
      </c>
      <c r="B311" s="7" t="s">
        <v>1927</v>
      </c>
      <c r="C311" s="7" t="s">
        <v>1928</v>
      </c>
      <c r="D311" s="7" t="s">
        <v>227</v>
      </c>
      <c r="E311" s="11" t="s">
        <v>60</v>
      </c>
      <c r="F311" s="7" t="s">
        <v>228</v>
      </c>
      <c r="G311" s="7" t="s">
        <v>228</v>
      </c>
      <c r="H311" s="7" t="s">
        <v>228</v>
      </c>
      <c r="I311" s="7" t="s">
        <v>229</v>
      </c>
      <c r="J311" s="7" t="s">
        <v>227</v>
      </c>
      <c r="K311" s="7" t="s">
        <v>227</v>
      </c>
      <c r="L311" s="12" t="s">
        <v>1929</v>
      </c>
      <c r="M311" s="7" t="s">
        <v>231</v>
      </c>
    </row>
    <row r="312" customFormat="false" ht="35.05" hidden="false" customHeight="false" outlineLevel="0" collapsed="false">
      <c r="A312" s="13" t="n">
        <v>63</v>
      </c>
      <c r="B312" s="7" t="s">
        <v>1930</v>
      </c>
      <c r="C312" s="7" t="s">
        <v>1931</v>
      </c>
      <c r="D312" s="7" t="s">
        <v>1932</v>
      </c>
      <c r="E312" s="14" t="s">
        <v>210</v>
      </c>
      <c r="F312" s="7" t="s">
        <v>61</v>
      </c>
      <c r="G312" s="7" t="s">
        <v>1933</v>
      </c>
      <c r="H312" s="7" t="s">
        <v>63</v>
      </c>
      <c r="I312" s="7" t="s">
        <v>63</v>
      </c>
      <c r="J312" s="7" t="s">
        <v>1934</v>
      </c>
      <c r="K312" s="7" t="s">
        <v>1935</v>
      </c>
      <c r="L312" s="12" t="s">
        <v>1936</v>
      </c>
      <c r="M312" s="7" t="s">
        <v>1937</v>
      </c>
    </row>
    <row r="313" customFormat="false" ht="23.85" hidden="false" customHeight="false" outlineLevel="0" collapsed="false">
      <c r="A313" s="10" t="n">
        <v>62</v>
      </c>
      <c r="B313" s="7" t="s">
        <v>1938</v>
      </c>
      <c r="C313" s="7" t="s">
        <v>1939</v>
      </c>
      <c r="D313" s="7" t="s">
        <v>227</v>
      </c>
      <c r="E313" s="11" t="s">
        <v>60</v>
      </c>
      <c r="F313" s="7" t="s">
        <v>228</v>
      </c>
      <c r="G313" s="7" t="s">
        <v>228</v>
      </c>
      <c r="H313" s="7" t="s">
        <v>228</v>
      </c>
      <c r="I313" s="7" t="s">
        <v>229</v>
      </c>
      <c r="J313" s="7" t="s">
        <v>227</v>
      </c>
      <c r="K313" s="7" t="s">
        <v>227</v>
      </c>
      <c r="L313" s="12" t="s">
        <v>1940</v>
      </c>
      <c r="M313" s="7" t="s">
        <v>231</v>
      </c>
    </row>
    <row r="314" customFormat="false" ht="23.85" hidden="false" customHeight="false" outlineLevel="0" collapsed="false">
      <c r="A314" s="15" t="n">
        <v>62</v>
      </c>
      <c r="B314" s="7" t="s">
        <v>1941</v>
      </c>
      <c r="C314" s="7" t="s">
        <v>1942</v>
      </c>
      <c r="D314" s="7" t="s">
        <v>227</v>
      </c>
      <c r="E314" s="16" t="s">
        <v>333</v>
      </c>
      <c r="F314" s="7" t="s">
        <v>228</v>
      </c>
      <c r="G314" s="7" t="s">
        <v>228</v>
      </c>
      <c r="H314" s="7" t="s">
        <v>228</v>
      </c>
      <c r="I314" s="7" t="s">
        <v>229</v>
      </c>
      <c r="J314" s="7" t="s">
        <v>227</v>
      </c>
      <c r="K314" s="7" t="s">
        <v>227</v>
      </c>
      <c r="L314" s="12" t="s">
        <v>1943</v>
      </c>
      <c r="M314" s="7" t="s">
        <v>231</v>
      </c>
    </row>
    <row r="315" customFormat="false" ht="35.05" hidden="false" customHeight="false" outlineLevel="0" collapsed="false">
      <c r="A315" s="13" t="n">
        <v>61</v>
      </c>
      <c r="B315" s="7" t="s">
        <v>1944</v>
      </c>
      <c r="C315" s="7" t="s">
        <v>1945</v>
      </c>
      <c r="D315" s="7" t="s">
        <v>1946</v>
      </c>
      <c r="E315" s="14" t="s">
        <v>210</v>
      </c>
      <c r="F315" s="7" t="s">
        <v>61</v>
      </c>
      <c r="G315" s="7" t="s">
        <v>1947</v>
      </c>
      <c r="H315" s="7" t="s">
        <v>63</v>
      </c>
      <c r="I315" s="7" t="s">
        <v>1948</v>
      </c>
      <c r="J315" s="7" t="s">
        <v>1949</v>
      </c>
      <c r="K315" s="7" t="s">
        <v>1950</v>
      </c>
      <c r="L315" s="12" t="s">
        <v>1951</v>
      </c>
      <c r="M315" s="7" t="s">
        <v>1952</v>
      </c>
    </row>
    <row r="316" customFormat="false" ht="23.85" hidden="false" customHeight="false" outlineLevel="0" collapsed="false">
      <c r="A316" s="10" t="n">
        <v>61</v>
      </c>
      <c r="B316" s="7" t="s">
        <v>1953</v>
      </c>
      <c r="C316" s="7" t="s">
        <v>1954</v>
      </c>
      <c r="D316" s="7" t="s">
        <v>227</v>
      </c>
      <c r="E316" s="11" t="s">
        <v>60</v>
      </c>
      <c r="F316" s="7" t="s">
        <v>228</v>
      </c>
      <c r="G316" s="7" t="s">
        <v>228</v>
      </c>
      <c r="H316" s="7" t="s">
        <v>228</v>
      </c>
      <c r="I316" s="7" t="s">
        <v>229</v>
      </c>
      <c r="J316" s="7" t="s">
        <v>227</v>
      </c>
      <c r="K316" s="7" t="s">
        <v>227</v>
      </c>
      <c r="L316" s="12" t="s">
        <v>1955</v>
      </c>
      <c r="M316" s="7" t="s">
        <v>231</v>
      </c>
    </row>
    <row r="317" customFormat="false" ht="35.05" hidden="false" customHeight="false" outlineLevel="0" collapsed="false">
      <c r="A317" s="15" t="n">
        <v>61</v>
      </c>
      <c r="B317" s="7" t="s">
        <v>1956</v>
      </c>
      <c r="C317" s="7" t="s">
        <v>1957</v>
      </c>
      <c r="D317" s="7" t="s">
        <v>1958</v>
      </c>
      <c r="E317" s="16" t="s">
        <v>333</v>
      </c>
      <c r="F317" s="7" t="s">
        <v>61</v>
      </c>
      <c r="G317" s="7" t="s">
        <v>1959</v>
      </c>
      <c r="H317" s="7" t="s">
        <v>63</v>
      </c>
      <c r="I317" s="7" t="s">
        <v>63</v>
      </c>
      <c r="J317" s="7" t="s">
        <v>1960</v>
      </c>
      <c r="K317" s="7" t="s">
        <v>1961</v>
      </c>
      <c r="L317" s="12" t="s">
        <v>1962</v>
      </c>
      <c r="M317" s="7" t="s">
        <v>1963</v>
      </c>
    </row>
    <row r="318" customFormat="false" ht="35.05" hidden="false" customHeight="false" outlineLevel="0" collapsed="false">
      <c r="A318" s="13" t="n">
        <v>60</v>
      </c>
      <c r="B318" s="7" t="s">
        <v>1964</v>
      </c>
      <c r="C318" s="7" t="s">
        <v>1965</v>
      </c>
      <c r="D318" s="7" t="s">
        <v>1657</v>
      </c>
      <c r="E318" s="14" t="s">
        <v>210</v>
      </c>
      <c r="F318" s="7" t="s">
        <v>61</v>
      </c>
      <c r="G318" s="7" t="s">
        <v>1966</v>
      </c>
      <c r="H318" s="7" t="s">
        <v>1967</v>
      </c>
      <c r="I318" s="7" t="s">
        <v>791</v>
      </c>
      <c r="J318" s="7" t="s">
        <v>1968</v>
      </c>
      <c r="K318" s="7" t="s">
        <v>1969</v>
      </c>
      <c r="L318" s="12" t="s">
        <v>1970</v>
      </c>
      <c r="M318" s="7" t="s">
        <v>1971</v>
      </c>
    </row>
    <row r="319" customFormat="false" ht="23.85" hidden="false" customHeight="false" outlineLevel="0" collapsed="false">
      <c r="A319" s="10" t="n">
        <v>60</v>
      </c>
      <c r="B319" s="7" t="s">
        <v>1972</v>
      </c>
      <c r="C319" s="7" t="s">
        <v>1973</v>
      </c>
      <c r="D319" s="7" t="s">
        <v>227</v>
      </c>
      <c r="E319" s="11" t="s">
        <v>60</v>
      </c>
      <c r="F319" s="7" t="s">
        <v>228</v>
      </c>
      <c r="G319" s="7" t="s">
        <v>228</v>
      </c>
      <c r="H319" s="7" t="s">
        <v>228</v>
      </c>
      <c r="I319" s="7" t="s">
        <v>229</v>
      </c>
      <c r="J319" s="7" t="s">
        <v>227</v>
      </c>
      <c r="K319" s="7" t="s">
        <v>227</v>
      </c>
      <c r="L319" s="12" t="s">
        <v>1974</v>
      </c>
      <c r="M319" s="7" t="s">
        <v>231</v>
      </c>
    </row>
    <row r="320" customFormat="false" ht="35.05" hidden="false" customHeight="false" outlineLevel="0" collapsed="false">
      <c r="A320" s="13" t="n">
        <v>59</v>
      </c>
      <c r="B320" s="7" t="s">
        <v>1975</v>
      </c>
      <c r="C320" s="7" t="s">
        <v>1976</v>
      </c>
      <c r="D320" s="7" t="s">
        <v>910</v>
      </c>
      <c r="E320" s="14" t="s">
        <v>210</v>
      </c>
      <c r="F320" s="7" t="s">
        <v>61</v>
      </c>
      <c r="G320" s="7" t="s">
        <v>1977</v>
      </c>
      <c r="H320" s="7" t="s">
        <v>63</v>
      </c>
      <c r="I320" s="7" t="s">
        <v>295</v>
      </c>
      <c r="J320" s="7" t="s">
        <v>1978</v>
      </c>
      <c r="K320" s="7" t="s">
        <v>1979</v>
      </c>
      <c r="L320" s="12" t="s">
        <v>1980</v>
      </c>
      <c r="M320" s="7" t="s">
        <v>1981</v>
      </c>
    </row>
    <row r="321" customFormat="false" ht="35.05" hidden="false" customHeight="false" outlineLevel="0" collapsed="false">
      <c r="A321" s="13" t="n">
        <v>59</v>
      </c>
      <c r="B321" s="7" t="s">
        <v>1982</v>
      </c>
      <c r="C321" s="7" t="s">
        <v>1983</v>
      </c>
      <c r="D321" s="7" t="s">
        <v>1984</v>
      </c>
      <c r="E321" s="14" t="s">
        <v>210</v>
      </c>
      <c r="F321" s="7" t="s">
        <v>61</v>
      </c>
      <c r="G321" s="7" t="s">
        <v>350</v>
      </c>
      <c r="H321" s="7" t="s">
        <v>351</v>
      </c>
      <c r="I321" s="7" t="s">
        <v>587</v>
      </c>
      <c r="J321" s="7" t="s">
        <v>1315</v>
      </c>
      <c r="K321" s="7" t="s">
        <v>589</v>
      </c>
      <c r="L321" s="12" t="s">
        <v>1985</v>
      </c>
      <c r="M321" s="7" t="s">
        <v>591</v>
      </c>
    </row>
    <row r="322" customFormat="false" ht="35.05" hidden="false" customHeight="false" outlineLevel="0" collapsed="false">
      <c r="A322" s="13" t="n">
        <v>58</v>
      </c>
      <c r="B322" s="7" t="s">
        <v>1986</v>
      </c>
      <c r="C322" s="7" t="s">
        <v>1987</v>
      </c>
      <c r="D322" s="7" t="s">
        <v>1988</v>
      </c>
      <c r="E322" s="14" t="s">
        <v>210</v>
      </c>
      <c r="F322" s="7" t="s">
        <v>61</v>
      </c>
      <c r="G322" s="7" t="s">
        <v>1989</v>
      </c>
      <c r="H322" s="7" t="s">
        <v>63</v>
      </c>
      <c r="I322" s="7" t="s">
        <v>1990</v>
      </c>
      <c r="J322" s="7" t="s">
        <v>1991</v>
      </c>
      <c r="K322" s="7" t="s">
        <v>1992</v>
      </c>
      <c r="L322" s="12" t="s">
        <v>1993</v>
      </c>
      <c r="M322" s="7" t="s">
        <v>1994</v>
      </c>
    </row>
    <row r="323" customFormat="false" ht="23.85" hidden="false" customHeight="false" outlineLevel="0" collapsed="false">
      <c r="A323" s="13" t="n">
        <v>58</v>
      </c>
      <c r="B323" s="7" t="s">
        <v>1995</v>
      </c>
      <c r="C323" s="7" t="s">
        <v>1996</v>
      </c>
      <c r="D323" s="7" t="s">
        <v>227</v>
      </c>
      <c r="E323" s="14" t="s">
        <v>210</v>
      </c>
      <c r="F323" s="7" t="s">
        <v>228</v>
      </c>
      <c r="G323" s="7" t="s">
        <v>228</v>
      </c>
      <c r="H323" s="7" t="s">
        <v>228</v>
      </c>
      <c r="I323" s="7" t="s">
        <v>229</v>
      </c>
      <c r="J323" s="7" t="s">
        <v>227</v>
      </c>
      <c r="K323" s="7" t="s">
        <v>227</v>
      </c>
      <c r="L323" s="12" t="s">
        <v>1997</v>
      </c>
      <c r="M323" s="7" t="s">
        <v>231</v>
      </c>
    </row>
    <row r="324" customFormat="false" ht="23.85" hidden="false" customHeight="false" outlineLevel="0" collapsed="false">
      <c r="A324" s="10" t="n">
        <v>58</v>
      </c>
      <c r="B324" s="7" t="s">
        <v>1998</v>
      </c>
      <c r="C324" s="7" t="s">
        <v>1999</v>
      </c>
      <c r="D324" s="7" t="s">
        <v>227</v>
      </c>
      <c r="E324" s="11" t="s">
        <v>60</v>
      </c>
      <c r="F324" s="7" t="s">
        <v>228</v>
      </c>
      <c r="G324" s="7" t="s">
        <v>228</v>
      </c>
      <c r="H324" s="7" t="s">
        <v>228</v>
      </c>
      <c r="I324" s="7" t="s">
        <v>229</v>
      </c>
      <c r="J324" s="7" t="s">
        <v>227</v>
      </c>
      <c r="K324" s="7" t="s">
        <v>227</v>
      </c>
      <c r="L324" s="12" t="s">
        <v>2000</v>
      </c>
      <c r="M324" s="7" t="s">
        <v>231</v>
      </c>
    </row>
    <row r="325" customFormat="false" ht="35.05" hidden="false" customHeight="false" outlineLevel="0" collapsed="false">
      <c r="A325" s="15" t="n">
        <v>58</v>
      </c>
      <c r="B325" s="7" t="s">
        <v>2001</v>
      </c>
      <c r="C325" s="7" t="s">
        <v>2002</v>
      </c>
      <c r="D325" s="7" t="s">
        <v>1858</v>
      </c>
      <c r="E325" s="16" t="s">
        <v>333</v>
      </c>
      <c r="F325" s="7" t="s">
        <v>61</v>
      </c>
      <c r="G325" s="7" t="s">
        <v>2003</v>
      </c>
      <c r="H325" s="7" t="s">
        <v>351</v>
      </c>
      <c r="I325" s="7" t="s">
        <v>2004</v>
      </c>
      <c r="J325" s="7" t="s">
        <v>1133</v>
      </c>
      <c r="K325" s="7" t="s">
        <v>354</v>
      </c>
      <c r="L325" s="12" t="s">
        <v>2005</v>
      </c>
      <c r="M325" s="7" t="s">
        <v>356</v>
      </c>
    </row>
    <row r="326" customFormat="false" ht="23.85" hidden="false" customHeight="false" outlineLevel="0" collapsed="false">
      <c r="A326" s="10" t="n">
        <v>57</v>
      </c>
      <c r="B326" s="7" t="s">
        <v>2006</v>
      </c>
      <c r="C326" s="7" t="s">
        <v>2007</v>
      </c>
      <c r="D326" s="7" t="s">
        <v>227</v>
      </c>
      <c r="E326" s="11" t="s">
        <v>60</v>
      </c>
      <c r="F326" s="7" t="s">
        <v>228</v>
      </c>
      <c r="G326" s="7" t="s">
        <v>228</v>
      </c>
      <c r="H326" s="7" t="s">
        <v>228</v>
      </c>
      <c r="I326" s="7" t="s">
        <v>229</v>
      </c>
      <c r="J326" s="7" t="s">
        <v>227</v>
      </c>
      <c r="K326" s="7" t="s">
        <v>227</v>
      </c>
      <c r="L326" s="12" t="s">
        <v>2008</v>
      </c>
      <c r="M326" s="7" t="s">
        <v>231</v>
      </c>
    </row>
    <row r="327" customFormat="false" ht="23.85" hidden="false" customHeight="false" outlineLevel="0" collapsed="false">
      <c r="A327" s="10" t="n">
        <v>57</v>
      </c>
      <c r="B327" s="7" t="s">
        <v>2009</v>
      </c>
      <c r="C327" s="7" t="s">
        <v>1364</v>
      </c>
      <c r="D327" s="7" t="s">
        <v>227</v>
      </c>
      <c r="E327" s="11" t="s">
        <v>60</v>
      </c>
      <c r="F327" s="7" t="s">
        <v>228</v>
      </c>
      <c r="G327" s="7" t="s">
        <v>228</v>
      </c>
      <c r="H327" s="7" t="s">
        <v>228</v>
      </c>
      <c r="I327" s="7" t="s">
        <v>229</v>
      </c>
      <c r="J327" s="7" t="s">
        <v>227</v>
      </c>
      <c r="K327" s="7" t="s">
        <v>227</v>
      </c>
      <c r="L327" s="12" t="s">
        <v>2010</v>
      </c>
      <c r="M327" s="7" t="s">
        <v>231</v>
      </c>
    </row>
    <row r="328" customFormat="false" ht="35.05" hidden="false" customHeight="false" outlineLevel="0" collapsed="false">
      <c r="A328" s="13" t="n">
        <v>57</v>
      </c>
      <c r="B328" s="7" t="s">
        <v>2011</v>
      </c>
      <c r="C328" s="7" t="s">
        <v>2012</v>
      </c>
      <c r="D328" s="7" t="s">
        <v>2013</v>
      </c>
      <c r="E328" s="14" t="s">
        <v>210</v>
      </c>
      <c r="F328" s="7" t="s">
        <v>61</v>
      </c>
      <c r="G328" s="7" t="s">
        <v>937</v>
      </c>
      <c r="H328" s="7" t="s">
        <v>351</v>
      </c>
      <c r="I328" s="7" t="s">
        <v>944</v>
      </c>
      <c r="J328" s="7" t="s">
        <v>2014</v>
      </c>
      <c r="K328" s="7" t="s">
        <v>354</v>
      </c>
      <c r="L328" s="12" t="s">
        <v>2015</v>
      </c>
      <c r="M328" s="7" t="s">
        <v>356</v>
      </c>
    </row>
    <row r="329" customFormat="false" ht="35.05" hidden="false" customHeight="false" outlineLevel="0" collapsed="false">
      <c r="A329" s="13" t="n">
        <v>56</v>
      </c>
      <c r="B329" s="7" t="s">
        <v>2016</v>
      </c>
      <c r="C329" s="7" t="s">
        <v>2017</v>
      </c>
      <c r="D329" s="7" t="s">
        <v>2018</v>
      </c>
      <c r="E329" s="14" t="s">
        <v>210</v>
      </c>
      <c r="F329" s="7" t="s">
        <v>61</v>
      </c>
      <c r="G329" s="7" t="s">
        <v>176</v>
      </c>
      <c r="H329" s="7" t="s">
        <v>2019</v>
      </c>
      <c r="I329" s="7" t="s">
        <v>63</v>
      </c>
      <c r="J329" s="7" t="s">
        <v>2020</v>
      </c>
      <c r="K329" s="7" t="s">
        <v>2021</v>
      </c>
      <c r="L329" s="12" t="s">
        <v>2022</v>
      </c>
      <c r="M329" s="7" t="s">
        <v>2023</v>
      </c>
    </row>
    <row r="330" customFormat="false" ht="35.05" hidden="false" customHeight="false" outlineLevel="0" collapsed="false">
      <c r="A330" s="13" t="n">
        <v>56</v>
      </c>
      <c r="B330" s="7" t="s">
        <v>2024</v>
      </c>
      <c r="C330" s="7" t="s">
        <v>2025</v>
      </c>
      <c r="D330" s="7" t="s">
        <v>2026</v>
      </c>
      <c r="E330" s="14" t="s">
        <v>210</v>
      </c>
      <c r="F330" s="7" t="s">
        <v>109</v>
      </c>
      <c r="G330" s="7" t="s">
        <v>63</v>
      </c>
      <c r="H330" s="7" t="s">
        <v>63</v>
      </c>
      <c r="I330" s="7" t="s">
        <v>63</v>
      </c>
      <c r="J330" s="7" t="s">
        <v>2027</v>
      </c>
      <c r="K330" s="7" t="s">
        <v>2028</v>
      </c>
      <c r="L330" s="12" t="s">
        <v>2029</v>
      </c>
      <c r="M330" s="7" t="s">
        <v>2030</v>
      </c>
    </row>
    <row r="331" customFormat="false" ht="23.85" hidden="false" customHeight="false" outlineLevel="0" collapsed="false">
      <c r="A331" s="10" t="n">
        <v>56</v>
      </c>
      <c r="B331" s="7" t="s">
        <v>2031</v>
      </c>
      <c r="C331" s="7" t="s">
        <v>2032</v>
      </c>
      <c r="D331" s="7" t="s">
        <v>227</v>
      </c>
      <c r="E331" s="11" t="s">
        <v>60</v>
      </c>
      <c r="F331" s="7" t="s">
        <v>228</v>
      </c>
      <c r="G331" s="7" t="s">
        <v>228</v>
      </c>
      <c r="H331" s="7" t="s">
        <v>228</v>
      </c>
      <c r="I331" s="7" t="s">
        <v>229</v>
      </c>
      <c r="J331" s="7" t="s">
        <v>227</v>
      </c>
      <c r="K331" s="7" t="s">
        <v>227</v>
      </c>
      <c r="L331" s="12" t="s">
        <v>2033</v>
      </c>
      <c r="M331" s="7" t="s">
        <v>231</v>
      </c>
    </row>
    <row r="332" customFormat="false" ht="23.85" hidden="false" customHeight="false" outlineLevel="0" collapsed="false">
      <c r="A332" s="10" t="n">
        <v>56</v>
      </c>
      <c r="B332" s="7" t="s">
        <v>2034</v>
      </c>
      <c r="C332" s="7" t="s">
        <v>2035</v>
      </c>
      <c r="D332" s="7" t="s">
        <v>227</v>
      </c>
      <c r="E332" s="11" t="s">
        <v>60</v>
      </c>
      <c r="F332" s="7" t="s">
        <v>228</v>
      </c>
      <c r="G332" s="7" t="s">
        <v>228</v>
      </c>
      <c r="H332" s="7" t="s">
        <v>228</v>
      </c>
      <c r="I332" s="7" t="s">
        <v>229</v>
      </c>
      <c r="J332" s="7" t="s">
        <v>227</v>
      </c>
      <c r="K332" s="7" t="s">
        <v>227</v>
      </c>
      <c r="L332" s="12" t="s">
        <v>2036</v>
      </c>
      <c r="M332" s="7" t="s">
        <v>231</v>
      </c>
    </row>
    <row r="333" customFormat="false" ht="46.25" hidden="false" customHeight="false" outlineLevel="0" collapsed="false">
      <c r="A333" s="13" t="n">
        <v>55</v>
      </c>
      <c r="B333" s="7" t="s">
        <v>2037</v>
      </c>
      <c r="C333" s="7" t="s">
        <v>2038</v>
      </c>
      <c r="D333" s="7" t="s">
        <v>2039</v>
      </c>
      <c r="E333" s="14" t="s">
        <v>210</v>
      </c>
      <c r="F333" s="7" t="s">
        <v>61</v>
      </c>
      <c r="G333" s="7" t="s">
        <v>176</v>
      </c>
      <c r="H333" s="7" t="s">
        <v>63</v>
      </c>
      <c r="I333" s="7" t="s">
        <v>2040</v>
      </c>
      <c r="J333" s="7" t="s">
        <v>2041</v>
      </c>
      <c r="K333" s="7" t="s">
        <v>2042</v>
      </c>
      <c r="L333" s="12" t="s">
        <v>2043</v>
      </c>
      <c r="M333" s="7" t="s">
        <v>2044</v>
      </c>
    </row>
    <row r="334" customFormat="false" ht="35.05" hidden="false" customHeight="false" outlineLevel="0" collapsed="false">
      <c r="A334" s="13" t="n">
        <v>55</v>
      </c>
      <c r="B334" s="7" t="s">
        <v>2045</v>
      </c>
      <c r="C334" s="7" t="s">
        <v>2046</v>
      </c>
      <c r="D334" s="7" t="s">
        <v>2047</v>
      </c>
      <c r="E334" s="14" t="s">
        <v>210</v>
      </c>
      <c r="F334" s="7" t="s">
        <v>61</v>
      </c>
      <c r="G334" s="7" t="s">
        <v>2048</v>
      </c>
      <c r="H334" s="7" t="s">
        <v>63</v>
      </c>
      <c r="I334" s="7" t="s">
        <v>2049</v>
      </c>
      <c r="J334" s="7" t="s">
        <v>2050</v>
      </c>
      <c r="K334" s="7" t="s">
        <v>2051</v>
      </c>
      <c r="L334" s="12" t="s">
        <v>2052</v>
      </c>
      <c r="M334" s="7" t="s">
        <v>2053</v>
      </c>
    </row>
    <row r="335" customFormat="false" ht="23.85" hidden="false" customHeight="false" outlineLevel="0" collapsed="false">
      <c r="A335" s="13" t="n">
        <v>55</v>
      </c>
      <c r="B335" s="7" t="s">
        <v>331</v>
      </c>
      <c r="C335" s="7" t="s">
        <v>2054</v>
      </c>
      <c r="D335" s="7" t="s">
        <v>227</v>
      </c>
      <c r="E335" s="14" t="s">
        <v>210</v>
      </c>
      <c r="F335" s="7" t="s">
        <v>228</v>
      </c>
      <c r="G335" s="7" t="s">
        <v>228</v>
      </c>
      <c r="H335" s="7" t="s">
        <v>228</v>
      </c>
      <c r="I335" s="7" t="s">
        <v>229</v>
      </c>
      <c r="J335" s="7" t="s">
        <v>227</v>
      </c>
      <c r="K335" s="7" t="s">
        <v>227</v>
      </c>
      <c r="L335" s="12" t="s">
        <v>2055</v>
      </c>
      <c r="M335" s="7" t="s">
        <v>231</v>
      </c>
    </row>
    <row r="336" customFormat="false" ht="23.85" hidden="false" customHeight="false" outlineLevel="0" collapsed="false">
      <c r="A336" s="15" t="n">
        <v>55</v>
      </c>
      <c r="B336" s="7" t="s">
        <v>2056</v>
      </c>
      <c r="C336" s="7" t="s">
        <v>2057</v>
      </c>
      <c r="D336" s="7" t="s">
        <v>227</v>
      </c>
      <c r="E336" s="16" t="s">
        <v>333</v>
      </c>
      <c r="F336" s="7" t="s">
        <v>228</v>
      </c>
      <c r="G336" s="7" t="s">
        <v>228</v>
      </c>
      <c r="H336" s="7" t="s">
        <v>228</v>
      </c>
      <c r="I336" s="7" t="s">
        <v>229</v>
      </c>
      <c r="J336" s="7" t="s">
        <v>227</v>
      </c>
      <c r="K336" s="7" t="s">
        <v>227</v>
      </c>
      <c r="L336" s="12" t="s">
        <v>2058</v>
      </c>
      <c r="M336" s="7" t="s">
        <v>231</v>
      </c>
    </row>
    <row r="337" customFormat="false" ht="35.05" hidden="false" customHeight="false" outlineLevel="0" collapsed="false">
      <c r="A337" s="15" t="n">
        <v>49</v>
      </c>
      <c r="B337" s="7" t="s">
        <v>2059</v>
      </c>
      <c r="C337" s="7" t="s">
        <v>2060</v>
      </c>
      <c r="D337" s="7" t="s">
        <v>2061</v>
      </c>
      <c r="E337" s="16" t="s">
        <v>333</v>
      </c>
      <c r="F337" s="7" t="s">
        <v>61</v>
      </c>
      <c r="G337" s="7" t="s">
        <v>1869</v>
      </c>
      <c r="H337" s="7" t="s">
        <v>351</v>
      </c>
      <c r="I337" s="7" t="s">
        <v>2062</v>
      </c>
      <c r="J337" s="7" t="s">
        <v>1133</v>
      </c>
      <c r="K337" s="7" t="s">
        <v>354</v>
      </c>
      <c r="L337" s="12" t="s">
        <v>2063</v>
      </c>
      <c r="M337" s="7" t="s">
        <v>356</v>
      </c>
    </row>
    <row r="338" customFormat="false" ht="46.25" hidden="false" customHeight="false" outlineLevel="0" collapsed="false">
      <c r="A338" s="13" t="n">
        <v>45</v>
      </c>
      <c r="B338" s="7" t="s">
        <v>2064</v>
      </c>
      <c r="C338" s="7" t="s">
        <v>2065</v>
      </c>
      <c r="D338" s="7" t="s">
        <v>1648</v>
      </c>
      <c r="E338" s="14" t="s">
        <v>210</v>
      </c>
      <c r="F338" s="7" t="s">
        <v>61</v>
      </c>
      <c r="G338" s="7" t="s">
        <v>2066</v>
      </c>
      <c r="H338" s="7" t="s">
        <v>63</v>
      </c>
      <c r="I338" s="7" t="s">
        <v>1732</v>
      </c>
      <c r="J338" s="7" t="s">
        <v>2067</v>
      </c>
      <c r="K338" s="7" t="s">
        <v>2068</v>
      </c>
      <c r="L338" s="12" t="s">
        <v>2069</v>
      </c>
      <c r="M338" s="7" t="s">
        <v>2070</v>
      </c>
    </row>
  </sheetData>
  <autoFilter ref="A4:M338"/>
  <hyperlinks>
    <hyperlink ref="L5" r:id="rId1" display="https://job-boards.greenhouse.io/timeleft/jobs/4917404101"/>
    <hyperlink ref="L6" r:id="rId2" display="https://www.freelancer.com/projects/n8n/workflow-automation-with-40623345"/>
    <hyperlink ref="L7" r:id="rId3" display="https://job-boards.eu.greenhouse.io/justmarkets/jobs/4929557101"/>
    <hyperlink ref="L8" r:id="rId4" display="https://www.freelancer.com/projects/ai-hw-sw/developer-automated-workflow-fully"/>
    <hyperlink ref="L9" r:id="rId5" display="https://www.freelancer.com/projects/n8n/marketing-automation-crm-setup-for"/>
    <hyperlink ref="L10" r:id="rId6" display="https://community.n8n.io/t/hiring-sales-tech-automation-specialist-ongoing-remote-work-crm-databases/300286"/>
    <hyperlink ref="L11" r:id="rId7" display="https://www.freelancer.com/projects/n8n/openai-real-estate-scout"/>
    <hyperlink ref="L12" r:id="rId8" display="https://apply.workable.com/digitalgenius/j/E03A435AC1"/>
    <hyperlink ref="L13" r:id="rId9" display="https://jobs.ashbyhq.com/n8n/5afbde12-defb-457d-a21e-584347141436"/>
    <hyperlink ref="L14" r:id="rId10" display="https://www.freelancer.com/projects/ai-hw-sw/powered-content-automation-distribution"/>
    <hyperlink ref="L15" r:id="rId11" display="https://www.freelancer.com/projects/n8n/automation-expert-needed-for-lead-40626185"/>
    <hyperlink ref="L16" r:id="rId12" display="https://job-boards.greenhouse.io/sportygroup/jobs/4933981101"/>
    <hyperlink ref="L17" r:id="rId13" display="https://jobs.lever.co/jobgether/f481d0d9-88e3-46e6-b263-0690a73d0786"/>
    <hyperlink ref="L18" r:id="rId14" display="https://jobs.lever.co/distru/b7bb8662-3ede-4b41-bc98-b8ca5678f8d3"/>
    <hyperlink ref="L19" r:id="rId15" display="https://euremotejobs.com/job/ai-automation-specialist-2/"/>
    <hyperlink ref="L20" r:id="rId16" display="https://www.freelancer.com/projects/google-sheets/automation-specialist"/>
    <hyperlink ref="L21" r:id="rId17" display="https://jobs.lever.co/jobgether/ba7cdbb8-ff78-4514-9974-ab8db0a51f22"/>
    <hyperlink ref="L22" r:id="rId18" display="https://jobs.lever.co/capital/371d503f-1eaf-4c83-a2d8-d312e44bca4d"/>
    <hyperlink ref="L23" r:id="rId19" display="https://jobs.eu.lever.co/eneba/df5397c1-489f-4eb9-a771-3d64eb42c86e"/>
    <hyperlink ref="L24" r:id="rId20" display="https://ascendingai.recruitee.com/o/full-stack-engineer-mid-level"/>
    <hyperlink ref="L25" r:id="rId21" display="https://www.freelancer.com/projects/crm/meta-business-agents-setup-expert"/>
    <hyperlink ref="L26" r:id="rId22" display="https://job-boards.eu.greenhouse.io/superchat/jobs/4937205101"/>
    <hyperlink ref="L27" r:id="rId23" display="https://www.welcometothejungle.com/en/companies/stockly/jobs/no-code-ai-automation-engineer_paris"/>
    <hyperlink ref="L28" r:id="rId24" display="https://job-boards.greenhouse.io/xai/jobs/5063490007"/>
    <hyperlink ref="L29" r:id="rId25" display="https://himalayas.app/companies/dorado-software-group/jobs/marketing-ai-automation-specialist-4568269099"/>
    <hyperlink ref="L30" r:id="rId26" display="https://himalayas.app/companies/dorado-software-group/jobs/marketing-ai-automation-specialist-7630585410"/>
    <hyperlink ref="L31" r:id="rId27" display="https://himalayas.app/companies/dorado-software-group/jobs/marketing-ai-automation-specialist-5796186857"/>
    <hyperlink ref="L32" r:id="rId28" display="https://himalayas.app/companies/spotter-labs/jobs/accounting-automation-engineer"/>
    <hyperlink ref="L33" r:id="rId29" display="https://jobs.lever.co/mendix/c0c545fe-53ae-4eda-869f-da2871dac697"/>
    <hyperlink ref="L34" r:id="rId30" display="https://www.arbeitnow.com/jobs/companies/integral-de/gtm-engineer-berlin-311461"/>
    <hyperlink ref="L35" r:id="rId31" display="https://jobs.ashbyhq.com/swans/c5c62cfc-8248-4295-8e00-36e3261025c4"/>
    <hyperlink ref="L36" r:id="rId32" display="https://jobs.ashbyhq.com/10xteam/ba5dbf6c-98a9-4a38-be25-b1ec100e12bc"/>
    <hyperlink ref="L37" r:id="rId33" display="https://jobs.smartrecruiters.com/BEUMERGroup1/744000128890468-m365-ai-automation-specialist-m-f-d-"/>
    <hyperlink ref="L38" r:id="rId34" display="https://jobs.workable.com/view/6PL9yBjhge85dfDyAs1tZS/remote-full-stack-engineer---growth-%26-marketing-in-italy-at-treatwell"/>
    <hyperlink ref="L39" r:id="rId35" display="https://lleverage.recruitee.com/o/ai-engineer-2"/>
    <hyperlink ref="L40" r:id="rId36" display="https://jobs.lever.co/jobgether/7bb350c7-d399-431a-a69f-4cd38232d71e"/>
    <hyperlink ref="L41" r:id="rId37" display="https://wellfound.com/jobs/4079967-full-stack-engineer-next-js-supabase-ai-native-workflow"/>
    <hyperlink ref="L42" r:id="rId38" display="https://job-boards.eu.greenhouse.io/super/jobs/4821514101"/>
    <hyperlink ref="L43" r:id="rId39" display="https://www.linkedin.com/jobs/view/4416294264/"/>
    <hyperlink ref="L44" r:id="rId40" display="https://job-boards.greenhouse.io/bloomreach/jobs/8064322"/>
    <hyperlink ref="L45" r:id="rId41" display="https://himalayas.app/companies/tripleten/jobs/crm-systems-automation-manager-9409947081"/>
    <hyperlink ref="L46" r:id="rId42" display="https://himalayas.app/companies/tripleten/jobs/crm-systems-automation-manager-5814909795"/>
    <hyperlink ref="L47" r:id="rId43" display="https://www.freelancer.com/projects/ai-integration/claude-integration-for-recruitment"/>
    <hyperlink ref="L48" r:id="rId44" display="https://community.n8n.io/t/hiring-ai-automation-engineer-n8n-ai-agent-developer/294904"/>
    <hyperlink ref="L49" r:id="rId45" display="https://himalayas.app/companies/alguna/jobs/product-engineer"/>
    <hyperlink ref="L50" r:id="rId46" display="https://jobs.smartrecruiters.com/BEUMERGroup1/744000118435467-digital-workplace-ai-automation-specialist-m-w-d-"/>
    <hyperlink ref="L51" r:id="rId47" display="https://job-boards.greenhouse.io/idnow/jobs/4905098101"/>
    <hyperlink ref="L52" r:id="rId48" display="https://startup.jobs/software-engineer-octocom-ltd-8787185"/>
    <hyperlink ref="L53" r:id="rId49" display="https://community.clay.com/x/full-time-jobs/9is5k0h0y5pt/hiring-gtm-engineer-at-growth-today-for-remote-eu"/>
    <hyperlink ref="L54" r:id="rId50" display="https://himalayas.app/companies/talent-sam/jobs/full-stack-developer"/>
    <hyperlink ref="L55" r:id="rId51" display="https://berlinstartupjobs.com/engineering/product-engineer-m-f-d-stackgini-gmbh/"/>
    <hyperlink ref="L56" r:id="rId52" display="https://jobs.workable.com/view/k6iUWx4gVmgMJko3nWuvCY/remote-ai-automations-product-engineer-in-amsterdam-at-ninetwothree-ai-studio"/>
    <hyperlink ref="L57" r:id="rId53" display="https://www.linkedin.com/jobs/view/4445848675/"/>
    <hyperlink ref="L58" r:id="rId54" display="https://www.linkedin.com/jobs/view/4440116826/"/>
    <hyperlink ref="L59" r:id="rId55" display="https://himalayas.app/companies/tripleten/jobs/crm-systems-automation-manager"/>
    <hyperlink ref="L60" r:id="rId56" display="https://job-boards.greenhouse.io/rithumliboard/jobs/8092924"/>
    <hyperlink ref="L61" r:id="rId57" display="https://job-boards.greenhouse.io/kentik/jobs/4716196005"/>
    <hyperlink ref="L62" r:id="rId58" display="https://job-boards.greenhouse.io/rtbhouse/jobs/4913268101"/>
    <hyperlink ref="L63" r:id="rId59" display="https://euremotejobs.com/job/full-stack-developer-node-js-react-5/"/>
    <hyperlink ref="L64" r:id="rId60" display="https://himalayas.app/companies/wing-assistant/jobs/gtm-automation-engineer-outbound-marketing-2168134274"/>
    <hyperlink ref="L65" r:id="rId61" display="https://jobs.lever.co/jobgether/e2a5be55-76e4-44f7-b7b6-2d6e54b14bed"/>
    <hyperlink ref="L66" r:id="rId62" display="https://wellfound.com/jobs/4245997-senior-typescript-engineer-come-build-ai-agents-with-us-remote"/>
    <hyperlink ref="L67" r:id="rId63" display="https://join.com/companies/gtmbaseio/16345856-forward-deployed-crm-architect"/>
    <hyperlink ref="L68" r:id="rId64" display="https://himalayas.app/companies/find-co/jobs/crm-data-operations-analyst"/>
    <hyperlink ref="L69" r:id="rId65" display="https://himalayas.app/companies/kodify-media-group/jobs/full-stack-developer"/>
    <hyperlink ref="L70" r:id="rId66" display="https://himalayas.app/companies/it-s-prodigy/jobs/full-stack-developer"/>
    <hyperlink ref="L71" r:id="rId67" display="https://weworkremotely.com/remote-jobs/yoko-co-front-end-wordpress-developer"/>
    <hyperlink ref="L72" r:id="rId68" display="https://himalayas.app/companies/wing-assistant/jobs/gtm-automation-engineer-outbound-marketing-3436928092"/>
    <hyperlink ref="L73" r:id="rId69" display="https://jobs.ashbyhq.com/sanity/7bb0c4d3-10e9-4e97-91a0-cfd1d0fc980a"/>
    <hyperlink ref="L74" r:id="rId70" display="https://weworkremotely.com/remote-jobs/stellar-ai-senior-software-engineer"/>
    <hyperlink ref="L75" r:id="rId71" display="https://lleverage.recruitee.com/o/lleverage-tem-4"/>
    <hyperlink ref="L76" r:id="rId72" display="https://www.linkedin.com/jobs/view/4416402281/"/>
    <hyperlink ref="L77" r:id="rId73" display="https://www.linkedin.com/jobs/view/4447533037/"/>
    <hyperlink ref="L78" r:id="rId74" display="https://www.linkedin.com/jobs/view/4447529645/"/>
    <hyperlink ref="L79" r:id="rId75" display="https://it.indeed.com/viewjob?jk=501ee57f9d773ce8"/>
    <hyperlink ref="L80" r:id="rId76" display="https://it.indeed.com/viewjob?jk=207dec180923643c"/>
    <hyperlink ref="L81" r:id="rId77" display="https://it.indeed.com/viewjob?jk=f6b0bd5b9d306e34"/>
    <hyperlink ref="L82" r:id="rId78" display="https://it.indeed.com/viewjob?jk=b267bab964b6de1c"/>
    <hyperlink ref="L83" r:id="rId79" display="https://jobs.ashbyhq.com/quadrivia/ef77b530-b481-4a32-a6d6-b0469a5419f2"/>
    <hyperlink ref="L84" r:id="rId80" display="https://jobs.eu.lever.co/olx/e0e18bb2-2cd8-473c-b804-b4849bda1f88"/>
    <hyperlink ref="L85" r:id="rId81" display="https://euremotejobs.com/job/embedded-ai-engineer-ir-540/"/>
    <hyperlink ref="L86" r:id="rId82" display="https://himalayas.app/companies/wanstor/jobs/automation-developer-power-platform-copilot-studio"/>
    <hyperlink ref="L87" r:id="rId83" display="https://euremotejobs.com/job/staff-it-engineer-for-automation-ai-transformation-remote/"/>
    <hyperlink ref="L88" r:id="rId84" display="https://himalayas.app/companies/gorin-systems/jobs/full-stack-laravel-react-developer-9044192559"/>
    <hyperlink ref="L89" r:id="rId85" display="https://himalayas.app/companies/autopilot-is/jobs/product-engineer"/>
    <hyperlink ref="L90" r:id="rId86" display="https://himalayas.app/companies/full-circle/jobs/full-stack-developer-ai-first-2901065681"/>
    <hyperlink ref="L91" r:id="rId87" display="https://join.com/companies/oryn-groupcom/16512536-gtm-engineer-founding-partner-m-f-x"/>
    <hyperlink ref="L92" r:id="rId88" display="https://jobs.lever.co/jobgether/89509e99-290d-446f-87a7-39c3a67a4a58"/>
    <hyperlink ref="L93" r:id="rId89" display="https://jobs.lever.co/jobgether/604e42de-5233-4d20-b7a6-6823f0d6b56d"/>
    <hyperlink ref="L94" r:id="rId90" display="https://chrono24.jobs.personio.de/job/2717899?language=en"/>
    <hyperlink ref="L95" r:id="rId91" display="https://apply.workable.com/freedomfinanceeu/j/348556E7E4"/>
    <hyperlink ref="L96" r:id="rId92" display="https://himalayas.app/companies/lippe-personal-gmbh/jobs/automation-tech-specialist-m-w-d"/>
    <hyperlink ref="L97" r:id="rId93" display="https://job-boards.greenhouse.io/thequalitygroupgmbh2/jobs/4931097101"/>
    <hyperlink ref="L98" r:id="rId94" display="https://www.ycombinator.com/companies/cogram/jobs/LDTrViN-ex-technical-founder-product-engineer"/>
    <hyperlink ref="L99" r:id="rId95" display="https://himalayas.app/companies/oneimaging/jobs/full-stack-software-engineer-typescript-react"/>
    <hyperlink ref="L100" r:id="rId96" display="https://tiugotech.recruitee.com/o/technical-product-manager-ai-services-team"/>
    <hyperlink ref="L101" r:id="rId97" display="https://sanalabs.com/careers/solutions-engineer"/>
    <hyperlink ref="L102" r:id="rId98" display="https://startup.jobs/junior-ai-engineer-1-year-temp-entrust-8905447"/>
    <hyperlink ref="L103" r:id="rId99" display="https://himalayas.app/companies/kultremedia-llc/jobs/km-automation-specialist-make-com-notion-ad-operations"/>
    <hyperlink ref="L104" r:id="rId100" display="https://himalayas.app/companies/saas-group/jobs/ai-operator"/>
    <hyperlink ref="L105" r:id="rId101" display="https://job-boards.greenhouse.io/rithumliboard/jobs/8016946"/>
    <hyperlink ref="L106" r:id="rId102" display="https://apply.workable.com/laravel/j/E2EEEA7303"/>
    <hyperlink ref="L107" r:id="rId103" display="https://himalayas.app/companies/sophie-camp/jobs/freelancer-gtm-engineer-ai-automation-specialist-n8n-clay"/>
    <hyperlink ref="L108" r:id="rId104" display="https://job-boards.greenhouse.io/postman/jobs/7528350003"/>
    <hyperlink ref="L109" r:id="rId105" display="https://weworkremotely.com/remote-jobs/qase-technical-customer-support-specialist"/>
    <hyperlink ref="L110" r:id="rId106" display="https://himalayas.app/companies/cocoon/jobs/software-engineer"/>
    <hyperlink ref="L111" r:id="rId107" display="https://doradosoftwaregroup.pinpointhq.com/en/postings/2b690194-5f6f-4217-8c9d-37e560e449b0"/>
    <hyperlink ref="L112" r:id="rId108" display="https://himalayas.app/companies/huzzle/jobs/gtm-engineer-ai-systems"/>
    <hyperlink ref="L113" r:id="rId109" display="https://jobs.ashbyhq.com/posthog/b42fd20b-b647-4f42-b725-b29ca472cba8"/>
    <hyperlink ref="L114" r:id="rId110" display="https://jobs.ashbyhq.com/apify/08d05f4e-d727-485b-a1b7-1a6df00c225d"/>
    <hyperlink ref="L115" r:id="rId111" display="https://jobs.workable.com/view/jVGnyeQeCeg4BoUw2QPnP5/lead-full-stack-engineer-(ai-first)-%7C-remote-(from-europe)-in-amsterdam-at-creatunity-llc"/>
    <hyperlink ref="L116" r:id="rId112" display="https://himalayas.app/companies/zencargo/jobs/forward-deployed-engineer-9064118696"/>
    <hyperlink ref="L117" r:id="rId113" display="https://www.welcometothejungle.com/en/companies/leadtech/jobs/ai-developer-full-stack_es_hup3tkve"/>
    <hyperlink ref="L118" r:id="rId114" display="https://job-boards.greenhouse.io/commercetools/jobs/7774983003"/>
    <hyperlink ref="L119" r:id="rId115" display="https://www.freelancer.com/projects/data-extraction/versatile-web-scraper-needed"/>
    <hyperlink ref="L120" r:id="rId116" display="https://himalayas.app/companies/paires/jobs/gtm-engineer"/>
    <hyperlink ref="L121" r:id="rId117" display="https://jobs.lever.co/jobgether/17f76227-a965-40ec-8d5b-5f98bef62e3e"/>
    <hyperlink ref="L122" r:id="rId118" display="https://jobs.lever.co/jobgether/ebed3f39-8988-4cda-bc1b-fc212cc8dd98"/>
    <hyperlink ref="L123" r:id="rId119" display="https://startup.jobs/specialist-solution-engineer-salesforce-8912021"/>
    <hyperlink ref="L124" r:id="rId120" display="https://deeploi.jobs.personio.de/job/2717159"/>
    <hyperlink ref="L125" r:id="rId121" display="https://job-boards.greenhouse.io/postman/jobs/7529471003"/>
    <hyperlink ref="L126" r:id="rId122" display="https://www.linkedin.com/jobs/view/4416885598/"/>
    <hyperlink ref="L127" r:id="rId123" display="https://www.linkedin.com/jobs/view/4428825661/"/>
    <hyperlink ref="L128" r:id="rId124" display="https://www.linkedin.com/jobs/view/4443816208/"/>
    <hyperlink ref="L129" r:id="rId125" display="https://www.linkedin.com/jobs/view/4447996831/"/>
    <hyperlink ref="L130" r:id="rId126" display="https://www.linkedin.com/jobs/view/4440157888/"/>
    <hyperlink ref="L131" r:id="rId127" display="https://www.linkedin.com/jobs/view/4439151703/"/>
    <hyperlink ref="L132" r:id="rId128" display="https://makersitegmbh.recruitee.com/o/technical-support-engineer-mfx"/>
    <hyperlink ref="L133" r:id="rId129" display="https://job-boards.greenhouse.io/awin/jobs/7720634003"/>
    <hyperlink ref="L134" r:id="rId130" display="https://www.freelancermap.com/project/n8n-automation-architect"/>
    <hyperlink ref="L135" r:id="rId131" display="https://jobs.lever.co/deliverect/ec294766-fb58-4dd9-8c2f-c18019f599ca"/>
    <hyperlink ref="L136" r:id="rId132" display="https://www.careers-page.com/humanit/job/W34WXVX9"/>
    <hyperlink ref="L137" r:id="rId133" display="https://euremotejobs.com/job/full-stack-engineer-php-javascript-ai/"/>
    <hyperlink ref="L138" r:id="rId134" display="https://euremotejobs.com/job/backend-developer-remote/"/>
    <hyperlink ref="L139" r:id="rId135" display="https://berlinstartupjobs.com/engineering/senior-product-engineer-kombo/"/>
    <hyperlink ref="L140" r:id="rId136" display="https://builtin.com/job/software-engineer-frontend/7834165"/>
    <hyperlink ref="L141" r:id="rId137" display="https://job-boards.greenhouse.io/databento/jobs/7943501"/>
    <hyperlink ref="L142" r:id="rId138" display="https://himalayas.app/companies/berkeley-square-it/jobs/ai-solutions-engineer"/>
    <hyperlink ref="L143" r:id="rId139" display="https://join.com/companies/getaveryai/16375814-founding-engineer-core"/>
    <hyperlink ref="L144" r:id="rId140" display="https://jobs.ashbyhq.com/vibiz/e4d28e9f-6833-418c-bb91-d96f6f0cedca"/>
    <hyperlink ref="L145" r:id="rId141" display="https://job-boards.greenhouse.io/appfire/jobs/4711980005"/>
    <hyperlink ref="L146" r:id="rId142" display="https://jobs.ashbyhq.com/bjakcareer/3ead2626-c0ad-4fd4-96c1-1e4221c7ee81"/>
    <hyperlink ref="L147" r:id="rId143" display="https://himalayas.app/companies/supportyourapp/jobs/fluent-english-automation-specialist-remote-europe"/>
    <hyperlink ref="L148" r:id="rId144" display="https://community.n8n.io/t/looking-for-n8n-developer-or-team/304434"/>
    <hyperlink ref="L149" r:id="rId145" display="https://community.clay.com/x/full-time-jobs/dr9ev9pdah79/hiring-gtm-engineer-part-timefull-time-for-long-te"/>
    <hyperlink ref="L150" r:id="rId146" display="https://jobs.ashbyhq.com/neara/12c88319-6f1e-48e1-acad-fc4c1017b1cd"/>
    <hyperlink ref="L151" r:id="rId147" display="https://builtin.com/job/software-engineer/7834176"/>
    <hyperlink ref="L152" r:id="rId148" display="https://builtin.com/job/ai-engineer-full-stack/8308933"/>
    <hyperlink ref="L153" r:id="rId149" display="https://weworkremotely.com/remote-jobs/toptal-senior-full-stack-ai-engineer"/>
    <hyperlink ref="L154" r:id="rId150" display="https://www.linkedin.com/jobs/view/4446249585/"/>
    <hyperlink ref="L155" r:id="rId151" display="https://www.linkedin.com/jobs/view/4448096852/"/>
    <hyperlink ref="L156" r:id="rId152" display="https://www.linkedin.com/jobs/view/4439731054/"/>
    <hyperlink ref="L157" r:id="rId153" display="https://www.linkedin.com/jobs/view/4449477191/"/>
    <hyperlink ref="L158" r:id="rId154" display="https://www.linkedin.com/jobs/view/4447987900/"/>
    <hyperlink ref="L159" r:id="rId155" display="https://www.linkedin.com/jobs/view/4448633098/"/>
    <hyperlink ref="L160" r:id="rId156" display="https://www.linkedin.com/jobs/view/4445535821/"/>
    <hyperlink ref="L161" r:id="rId157" display="https://www.linkedin.com/jobs/view/4431403123/"/>
    <hyperlink ref="L162" r:id="rId158" display="https://www.linkedin.com/jobs/view/4445030623/"/>
    <hyperlink ref="L163" r:id="rId159" display="https://www.linkedin.com/jobs/view/4440855987/"/>
    <hyperlink ref="L164" r:id="rId160" display="https://www.linkedin.com/jobs/view/4446253180/"/>
    <hyperlink ref="L165" r:id="rId161" display="https://www.linkedin.com/jobs/view/4447125262/"/>
    <hyperlink ref="L166" r:id="rId162" display="https://www.linkedin.com/jobs/view/4441023666/"/>
    <hyperlink ref="L167" r:id="rId163" display="https://www.linkedin.com/jobs/view/4448984192/"/>
    <hyperlink ref="L168" r:id="rId164" display="https://www.linkedin.com/jobs/view/4437411822/"/>
    <hyperlink ref="L169" r:id="rId165" display="https://www.linkedin.com/jobs/view/4447197994/"/>
    <hyperlink ref="L170" r:id="rId166" display="https://www.linkedin.com/jobs/view/4436225454/"/>
    <hyperlink ref="L171" r:id="rId167" display="https://www.linkedin.com/jobs/view/4447317507/"/>
    <hyperlink ref="L172" r:id="rId168" display="https://www.linkedin.com/jobs/view/4445586742/"/>
    <hyperlink ref="L173" r:id="rId169" display="https://www.linkedin.com/jobs/view/4429696197/"/>
    <hyperlink ref="L174" r:id="rId170" display="https://www.linkedin.com/jobs/view/4445518098/"/>
    <hyperlink ref="L175" r:id="rId171" display="https://www.linkedin.com/jobs/view/4447377627/"/>
    <hyperlink ref="L176" r:id="rId172" display="https://www.linkedin.com/jobs/view/4447361781/"/>
    <hyperlink ref="L177" r:id="rId173" display="https://www.linkedin.com/jobs/view/4448582882/"/>
    <hyperlink ref="L178" r:id="rId174" display="https://www.linkedin.com/jobs/view/4447989368/"/>
    <hyperlink ref="L179" r:id="rId175" display="https://www.linkedin.com/jobs/view/4446223655/"/>
    <hyperlink ref="L180" r:id="rId176" display="https://www.linkedin.com/jobs/view/4447334123/"/>
    <hyperlink ref="L181" r:id="rId177" display="https://www.linkedin.com/jobs/view/4447219331/"/>
    <hyperlink ref="L182" r:id="rId178" display="https://www.linkedin.com/jobs/view/4450238978/"/>
    <hyperlink ref="L183" r:id="rId179" display="https://www.linkedin.com/jobs/view/4438594658/"/>
    <hyperlink ref="L184" r:id="rId180" display="https://www.linkedin.com/jobs/view/4431221667/"/>
    <hyperlink ref="L185" r:id="rId181" display="https://www.linkedin.com/jobs/view/4437819726/"/>
    <hyperlink ref="L186" r:id="rId182" display="https://www.linkedin.com/jobs/view/4442864790/"/>
    <hyperlink ref="L187" r:id="rId183" display="https://www.linkedin.com/jobs/view/4445925920/"/>
    <hyperlink ref="L188" r:id="rId184" display="https://www.linkedin.com/jobs/view/4444437033/"/>
    <hyperlink ref="L189" r:id="rId185" display="https://www.linkedin.com/jobs/view/4439027450/"/>
    <hyperlink ref="L190" r:id="rId186" display="https://www.linkedin.com/jobs/view/4446033941/"/>
    <hyperlink ref="L191" r:id="rId187" display="https://www.linkedin.com/jobs/view/4441822374/"/>
    <hyperlink ref="L192" r:id="rId188" display="https://www.linkedin.com/jobs/view/4445374311/"/>
    <hyperlink ref="L193" r:id="rId189" display="https://www.linkedin.com/jobs/view/4444963461/"/>
    <hyperlink ref="L194" r:id="rId190" display="https://www.linkedin.com/jobs/view/4448896595/"/>
    <hyperlink ref="L195" r:id="rId191" display="https://www.linkedin.com/jobs/view/4444541367/"/>
    <hyperlink ref="L196" r:id="rId192" display="https://www.linkedin.com/jobs/view/4449461841/"/>
    <hyperlink ref="L197" r:id="rId193" display="https://www.linkedin.com/jobs/view/4442629022/"/>
    <hyperlink ref="L198" r:id="rId194" display="https://www.linkedin.com/jobs/view/4445909297/"/>
    <hyperlink ref="L199" r:id="rId195" display="https://www.linkedin.com/jobs/view/4431938372/"/>
    <hyperlink ref="L200" r:id="rId196" display="https://www.linkedin.com/jobs/view/4437995961/"/>
    <hyperlink ref="L201" r:id="rId197" display="https://www.linkedin.com/jobs/view/4447574100/"/>
    <hyperlink ref="L202" r:id="rId198" display="https://www.linkedin.com/jobs/view/4446353743/"/>
    <hyperlink ref="L203" r:id="rId199" display="https://www.linkedin.com/jobs/view/4440161748/"/>
    <hyperlink ref="L204" r:id="rId200" display="https://it.indeed.com/viewjob?jk=67cafa8f40dbd2fc"/>
    <hyperlink ref="L205" r:id="rId201" display="https://axmed.teamtailor.com/jobs/8175859-ai-engineer"/>
    <hyperlink ref="L206" r:id="rId202" display="https://jobs.ashbyhq.com/outset/ef882074-b4bd-4e7e-b0ab-325e3c5c6a93"/>
    <hyperlink ref="L207" r:id="rId203" display="https://berlinstartupjobs.com/engineering/full-stack-developer-pandata-gmbh/"/>
    <hyperlink ref="L208" r:id="rId204" display="https://apply.workable.com/remofirst/j/CB946C18D3"/>
    <hyperlink ref="L209" r:id="rId205" display="https://job-boards.greenhouse.io/bloomreach/jobs/5779409"/>
    <hyperlink ref="L210" r:id="rId206" display="https://jobs.workable.com/view/cB3gEgQkRU86js7TdJ98fJ/remote-llm-engineer---freelancer-in-warsaw-at-monterail"/>
    <hyperlink ref="L211" r:id="rId207" display="https://weworkremotely.com/remote-jobs/vidalytics-ai-automation-engineer-in-house-martech-video-saas"/>
    <hyperlink ref="L212" r:id="rId208" display="https://jobs.ashbyhq.com/tandem-health/583fef4f-4417-40d9-a87e-e405180f71ce"/>
    <hyperlink ref="L213" r:id="rId209" display="https://job-boards.greenhouse.io/alignerr/jobs/4714343007"/>
    <hyperlink ref="L214" r:id="rId210" display="https://himalayas.app/companies/sortitt/jobs/full-stack-engineer"/>
    <hyperlink ref="L215" r:id="rId211" display="https://jobs.lever.co/oxylabs/8682b06a-c455-406f-ab50-65ce4c3ce318"/>
    <hyperlink ref="L216" r:id="rId212" display="https://himalayas.app/companies/vfx-financial/jobs/ai-automation-engineer"/>
    <hyperlink ref="L217" r:id="rId213" display="https://mgid.recruitee.com/o/technical-account-manager-rtb-1"/>
    <hyperlink ref="L218" r:id="rId214" display="https://careers.launchmetrics.com/jobs/8102801-full-stack-software-development-engineer-react-node-js"/>
    <hyperlink ref="L219" r:id="rId215" display="https://careers.launchmetrics.com/jobs/8072383-full-stack-software-development-engineer-php-react"/>
    <hyperlink ref="L220" r:id="rId216" display="https://jobs.lever.co/jobgether/2875aa8f-2aaa-495a-a70b-d2dcc0355218"/>
    <hyperlink ref="L221" r:id="rId217" display="https://jobs.ashbyhq.com/orb/3197e844-cf70-47b2-9a90-df64393e9e5b"/>
    <hyperlink ref="L222" r:id="rId218" display="https://valsea.teamtailor.com/jobs/7743448-ai-transformation-lead"/>
    <hyperlink ref="L223" r:id="rId219" display="https://www.linkedin.com/jobs/view/4435906115/"/>
    <hyperlink ref="L224" r:id="rId220" display="https://www.linkedin.com/jobs/view/4440970395/"/>
    <hyperlink ref="L225" r:id="rId221" display="https://www.linkedin.com/jobs/view/4446928967/"/>
    <hyperlink ref="L226" r:id="rId222" display="https://www.linkedin.com/jobs/view/4448047301/"/>
    <hyperlink ref="L227" r:id="rId223" display="https://www.linkedin.com/jobs/view/4447977775/"/>
    <hyperlink ref="L228" r:id="rId224" display="https://www.linkedin.com/jobs/view/4449635371/"/>
    <hyperlink ref="L229" r:id="rId225" display="https://www.linkedin.com/jobs/view/4447996582/"/>
    <hyperlink ref="L230" r:id="rId226" display="https://www.linkedin.com/jobs/view/4448883625/"/>
    <hyperlink ref="L231" r:id="rId227" display="https://www.linkedin.com/jobs/view/4443284894/"/>
    <hyperlink ref="L232" r:id="rId228" display="https://www.linkedin.com/jobs/view/4446991563/"/>
    <hyperlink ref="L233" r:id="rId229" display="https://www.linkedin.com/jobs/view/4445097573/"/>
    <hyperlink ref="L234" r:id="rId230" display="https://www.linkedin.com/jobs/view/4445643134/"/>
    <hyperlink ref="L235" r:id="rId231" display="https://euremotejobs.com/job/senior-fullstack-engineer-php-laravel/"/>
    <hyperlink ref="L236" r:id="rId232" display="https://codekeeper.applytojob.com/apply/qtxlu2ygms/full-stack-developer-javascript"/>
    <hyperlink ref="L237" r:id="rId233" display="https://codekeeper.applytojob.com/apply/l5nagz7rkv/marketing-operations-specialist"/>
    <hyperlink ref="L238" r:id="rId234" display="https://jobs.lever.co/jobgether/b8e4e97f-2d78-41a8-a179-110fc4ed6119"/>
    <hyperlink ref="L239" r:id="rId235" display="https://aerofoils-gmbh.jobs.personio.de/job/2424999?language=en"/>
    <hyperlink ref="L240" r:id="rId236" display="https://job-boards.greenhouse.io/amplitude/jobs/8548089002"/>
    <hyperlink ref="L241" r:id="rId237" display="https://himalayas.app/companies/kdci/jobs/n8n-developer"/>
    <hyperlink ref="L242" r:id="rId238" display="https://vismafinland.teamtailor.com/jobs/8013387-full-stack-developer-ai-severa"/>
    <hyperlink ref="L243" r:id="rId239" display="https://bearingpointromania.teamtailor.com/jobs/8170303-senior-agentic-ai-developer"/>
    <hyperlink ref="L244" r:id="rId240" display="https://jobs.ashbyhq.com/kota/cf1dc9c1-dcfb-48ff-aade-8b11c5180216"/>
    <hyperlink ref="L245" r:id="rId241" display="https://jobs.ashbyhq.com/quicknode/aa18b773-624e-4173-ab8c-fa534f3bab4b"/>
    <hyperlink ref="L246" r:id="rId242" display="https://jobs.ashbyhq.com/rossum.ai/ba7beef9-03ff-4624-9e03-d8d6ea593b64"/>
    <hyperlink ref="L247" r:id="rId243" display="https://himalayas.app/companies/infuse/jobs/ai-automation-team-lead-remote-contract-2194443646"/>
    <hyperlink ref="L248" r:id="rId244" display="https://weworkremotely.com/remote-jobs/reveleer-full-stack-ai-engineer"/>
    <hyperlink ref="L249" r:id="rId245" display="https://himalayas.app/companies/swissborg/jobs/software-engineer-propr-xyz"/>
    <hyperlink ref="L250" r:id="rId246" display="https://helloprint.recruitee.com/o/founding-ai-engineer"/>
    <hyperlink ref="L251" r:id="rId247" display="https://job-boards.greenhouse.io/alignerr/jobs/4362423007"/>
    <hyperlink ref="L252" r:id="rId248" display="https://mintos.teamtailor.com/jobs/7738030-ai-automation-transformation-engineer"/>
    <hyperlink ref="L253" r:id="rId249" display="https://jobs.ashbyhq.com/upvest/15f04024-1155-4c45-8bc8-40f5ba4cb4e0"/>
    <hyperlink ref="L254" r:id="rId250" display="https://etiqa-srl.breezy.hr/p/f5bc746306c601-ai-developer-junior-mid-efficiently-lazy"/>
    <hyperlink ref="L255" r:id="rId251" display="https://himalayas.app/companies/nebulab-com/jobs/shopify-engineer"/>
    <hyperlink ref="L256" r:id="rId252" display="https://jobs.ashbyhq.com/LeadX-Pro/e7d047be-5c12-411f-806e-3a08d044dafa/application"/>
    <hyperlink ref="L257" r:id="rId253" display="https://jobs.ashbyhq.com/reaktor/0b3c4d59-67f8-48f3-a573-5d62b89620c4"/>
    <hyperlink ref="L258" r:id="rId254" display="https://otonomee.jobs.personio.com/job/2656102"/>
    <hyperlink ref="L259" r:id="rId255" display="https://weworkremotely.com/remote-jobs/toptal-airtable-process-automation-expert"/>
    <hyperlink ref="L260" r:id="rId256" display="https://job-boards.greenhouse.io/jetbrains/jobs/4873487101"/>
    <hyperlink ref="L261" r:id="rId257" display="https://www.welcometothejungle.com/en/companies/basikon/jobs/senior-solutions-engineer-presales-fintech-saas_paris"/>
    <hyperlink ref="L262" r:id="rId258" display="https://jobs.ashbyhq.com/zauber/be28d274-8d61-43db-8dea-fe643ed69e0d"/>
    <hyperlink ref="L263" r:id="rId259" display="https://job-boards.greenhouse.io/alertmedia/jobs/8656401002"/>
    <hyperlink ref="L264" r:id="rId260" display="https://job-boards.greenhouse.io/telnyx54/jobs/4651630003"/>
    <hyperlink ref="L265" r:id="rId261" display="https://jobs.ashbyhq.com/pliant/581ca006-b369-4332-80de-3e383f2f101b"/>
    <hyperlink ref="L266" r:id="rId262" display="https://crowdstrike.wd5.myworkdayjobs.com/crowdstrikecareers/job/spain---remote/implementation-engineer--remote--esp-_r29357"/>
    <hyperlink ref="L267" r:id="rId263" display="https://enfuceoy.teamtailor.com/jobs/6554769-revops-specialist"/>
    <hyperlink ref="L268" r:id="rId264" display="https://jobs.lever.co/jobgether/f5760e2d-3cd2-4df5-8650-a04a78960d32"/>
    <hyperlink ref="L269" r:id="rId265" display="https://job-boards.greenhouse.io/vonage/jobs/8477113002"/>
    <hyperlink ref="L270" r:id="rId266" display="https://riverflex.recruitee.com/o/ai-full-stack-product-engineer-mid-level"/>
    <hyperlink ref="L271" r:id="rId267" display="https://weworkremotely.com/remote-jobs/a-team-senior-independent-ai-engineer-architect"/>
    <hyperlink ref="L272" r:id="rId268" display="https://www.linkedin.com/jobs/view/4432839113/"/>
    <hyperlink ref="L273" r:id="rId269" display="https://jobs.eu.lever.co/xm/5b5734a5-0ea7-4360-b4d1-6939aff2a621"/>
    <hyperlink ref="L274" r:id="rId270" display="https://job-boards.greenhouse.io/databento/jobs/7976255"/>
    <hyperlink ref="L275" r:id="rId271" display="https://www.welcometothejungle.com/fr/companies/clerk/jobs/ai-engineer-mid-senior-remote_begles"/>
    <hyperlink ref="L276" r:id="rId272" display="https://job-boards.greenhouse.io/unframe/jobs/4944222101"/>
    <hyperlink ref="L277" r:id="rId273" display="https://www.kadoa.com/careers/web-scraping-engineer"/>
    <hyperlink ref="L278" r:id="rId274" display="https://job-boards.greenhouse.io/wizinc/jobs/4701893006"/>
    <hyperlink ref="L279" r:id="rId275" display="https://jobs.ashbyhq.com/rossum.ai/5813d4c2-aa73-40ee-89a6-cc670c80be9f"/>
    <hyperlink ref="L280" r:id="rId276" display="https://careers.epicompany.eu/jobs/5229601-partner-integration-engineer-remote-first"/>
    <hyperlink ref="L281" r:id="rId277" display="https://holtzbrinck-careers.softgarden.io/job/62651254/"/>
    <hyperlink ref="L282" r:id="rId278" display="https://jobs.ashbyhq.com/sunday-natural/334daa15-1d5d-413a-b68b-3e100d0fe6aa/application"/>
    <hyperlink ref="L283" r:id="rId279" display="https://jobs.ashbyhq.com/wayflyer/59f3c28d-c365-4343-a11e-001cef58ce90"/>
    <hyperlink ref="L284" r:id="rId280" display="https://weworkremotely.com/remote-jobs/toptal-ai-engineer-aws-bedrock-agentcore-production-agentic-systems-latam-europe"/>
    <hyperlink ref="L285" r:id="rId281" display="https://www.linkedin.com/jobs/view/4448398622/"/>
    <hyperlink ref="L286" r:id="rId282" display="https://www.linkedin.com/jobs/view/4399694891/"/>
    <hyperlink ref="L287" r:id="rId283" display="https://www.linkedin.com/jobs/view/4433111445/"/>
    <hyperlink ref="L288" r:id="rId284" display="https://it.indeed.com/viewjob?jk=89da5c8ba1dbefe5"/>
    <hyperlink ref="L289" r:id="rId285" display="https://jobs.lever.co/activecampaign/3e093aec-8540-49c7-93f1-719727c1191d"/>
    <hyperlink ref="L290" r:id="rId286" display="https://jobs.ashbyhq.com/langfuse/a2c4e24c-21d1-4a9f-8d46-422d0592efd6"/>
    <hyperlink ref="L291" r:id="rId287" display="https://job-boards.greenhouse.io/datacor/jobs/5200122007"/>
    <hyperlink ref="L292" r:id="rId288" display="https://jobs.ashbyhq.com/enode/6b852b8a-6b6b-4ad2-be67-094af51f04c7"/>
    <hyperlink ref="L293" r:id="rId289" display="https://www.arbeitnow.com/jobs/companies/reonic/go-to-market-ai-data-ai-x-greentech-berlin-54823"/>
    <hyperlink ref="L294" r:id="rId290" display="https://builtin.com/job/software-engineer-cloud-backend/6802123"/>
    <hyperlink ref="L295" r:id="rId291" display="https://job-boards.greenhouse.io/intercom/jobs/6436276"/>
    <hyperlink ref="L296" r:id="rId292" display="https://job-boards.greenhouse.io/customerio/jobs/8089365"/>
    <hyperlink ref="L297" r:id="rId293" display="https://himalayas.app/companies/hygraph/jobs/senior-fullstack-engineer-f-m-d-berlin-i-germany-emea-i-remote"/>
    <hyperlink ref="L298" r:id="rId294" display="https://www.linkedin.com/jobs/view/4450214033/"/>
    <hyperlink ref="L299" r:id="rId295" display="https://www.linkedin.com/jobs/view/4448866303/"/>
    <hyperlink ref="L300" r:id="rId296" display="https://www.linkedin.com/jobs/view/4449996877/"/>
    <hyperlink ref="L301" r:id="rId297" display="https://job-boards.greenhouse.io/workboard/jobs/8634352002"/>
    <hyperlink ref="L302" r:id="rId298" display="https://jobs.lever.co/jobgether/e0c2953f-0797-40d5-b9fb-ef8697bbc421"/>
    <hyperlink ref="L303" r:id="rId299" display="https://job-boards.greenhouse.io/altamirafreelance/jobs/4936421101"/>
    <hyperlink ref="L304" r:id="rId300" display="https://www.linkedin.com/jobs/view/4449619696/"/>
    <hyperlink ref="L305" r:id="rId301" display="https://www.linkedin.com/jobs/view/4448536145/"/>
    <hyperlink ref="L306" r:id="rId302" display="https://www.linkedin.com/jobs/view/4448553071/"/>
    <hyperlink ref="L307" r:id="rId303" display="https://www.linkedin.com/jobs/view/4436845106/"/>
    <hyperlink ref="L308" r:id="rId304" display="https://careers.launchmetrics.com/jobs/8082265-associate-product-builder"/>
    <hyperlink ref="L309" r:id="rId305" display="https://www.pubnub.com/company/careers/?gh_jid=8053195"/>
    <hyperlink ref="L310" r:id="rId306" display="https://jobs.ashbyhq.com/nebuly/fe84bdad-9414-4bfc-aa4e-9aa7f1ca742e"/>
    <hyperlink ref="L311" r:id="rId307" display="https://weworkremotely.com/remote-jobs/dataannotation-tech-ft-pt-remote-ai-prompt-engineering-evaluation-will-train"/>
    <hyperlink ref="L312" r:id="rId308" display="https://jobs.lever.co/siteground/f3e78210-c419-449a-92fe-264344b90377"/>
    <hyperlink ref="L313" r:id="rId309" display="https://himalayas.app/companies/jumpfactor/jobs/gohighlevel-ghl-automation-specialist"/>
    <hyperlink ref="L314" r:id="rId310" display="https://jobs.eu.lever.co/wypoon/136cfee2-28f2-46b0-b634-99a563b9b059"/>
    <hyperlink ref="L315" r:id="rId311" display="https://digitail.factorialhr.com/job_posting/onboarding-specialist-274112"/>
    <hyperlink ref="L316" r:id="rId312" display="https://weworkremotely.com/remote-jobs/onthegosystems-ai-native-software-developer"/>
    <hyperlink ref="L317" r:id="rId313" display="https://job-boards.greenhouse.io/doitintl/jobs/7795513003"/>
    <hyperlink ref="L318" r:id="rId314" display="https://shaman.recruitee.com/o/pre-sales-solution-consultant"/>
    <hyperlink ref="L319" r:id="rId315" display="https://himalayas.app/companies/curotec/jobs/senior-full-stack-engineer-laravel-reactjs"/>
    <hyperlink ref="L320" r:id="rId316" display="https://startup.jobs/full-stack-engineer-ii-mollie-8906768"/>
    <hyperlink ref="L321" r:id="rId317" display="https://it.indeed.com/viewjob?jk=2bde66bd81a5b2db"/>
    <hyperlink ref="L322" r:id="rId318" display="https://himalayas.app/companies/darkroom/jobs/operations-associate-data-technology"/>
    <hyperlink ref="L323" r:id="rId319" display="https://jobs.workable.com/view/qhTB69SyybzJ77ttkP513L/remote-ai-adoption-officer-in-poland-at-mmdsmart-ltd"/>
    <hyperlink ref="L324" r:id="rId320" display="https://opply-1682428990.teamtailor.com/jobs/6710160-product-engineer-remote-in-europe"/>
    <hyperlink ref="L325" r:id="rId321" display="https://www.linkedin.com/jobs/view/4450200824/"/>
    <hyperlink ref="L326" r:id="rId322" display="https://himalayas.app/companies/pixel-service-consulting/jobs/fullstack-developer"/>
    <hyperlink ref="L327" r:id="rId323" display="https://job-boards.greenhouse.io/alignerr/jobs/4769519007"/>
    <hyperlink ref="L328" r:id="rId324" display="https://www.linkedin.com/jobs/view/4390700737/"/>
    <hyperlink ref="L329" r:id="rId325" display="https://www.ycombinator.com/companies/cogram/jobs"/>
    <hyperlink ref="L330" r:id="rId326" display="https://jobs.ashbyhq.com/weaviate/0d1c47c4-bc5b-45d8-8791-8f30f0fb2a12"/>
    <hyperlink ref="L331" r:id="rId327" display="https://himalayas.app/companies/product-heroes/jobs/ai-ml-engineer-live-story"/>
    <hyperlink ref="L332" r:id="rId328" display="https://careers.hostaway.com/o/staff-product-manager-ai-remote-emea"/>
    <hyperlink ref="L333" r:id="rId329" display="https://jobs.ashbyhq.com/deepsetai/64ae158e-76ed-43b9-8f19-d709bd2231ee"/>
    <hyperlink ref="L334" r:id="rId330" display="https://lobster-data-gmbh.jobs.personio.com/job/2667990"/>
    <hyperlink ref="L335" r:id="rId331" display="https://himalayas.app/companies/in-tandem/jobs/ai-engineer"/>
    <hyperlink ref="L336" r:id="rId332" display="https://jobs.ashbyhq.com/absorblms/a921a1d0-5e93-4bbf-a75e-125732438449"/>
    <hyperlink ref="L337" r:id="rId333" display="https://www.linkedin.com/jobs/view/4365608899/"/>
    <hyperlink ref="L338" r:id="rId334" display="https://jobs.ashbyhq.com/gorilla/d433c595-1824-4fba-be86-61732600a0fd"/>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3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46"/>
    <col collapsed="false" customWidth="true" hidden="false" outlineLevel="0" max="3" min="3" style="1" width="26"/>
    <col collapsed="false" customWidth="true" hidden="false" outlineLevel="0" max="4" min="4" style="1" width="46"/>
    <col collapsed="false" customWidth="true" hidden="false" outlineLevel="0" max="5" min="5" style="1" width="7"/>
    <col collapsed="false" customWidth="true" hidden="false" outlineLevel="0" max="6" min="6" style="1" width="13"/>
    <col collapsed="false" customWidth="true" hidden="false" outlineLevel="0" max="8" min="7" style="1" width="34"/>
    <col collapsed="false" customWidth="true" hidden="false" outlineLevel="0" max="9" min="9" style="1" width="22"/>
    <col collapsed="false" customWidth="true" hidden="false" outlineLevel="0" max="12" min="10" style="1" width="74"/>
    <col collapsed="false" customWidth="true" hidden="false" outlineLevel="0" max="13" min="13" style="1" width="50"/>
    <col collapsed="false" customWidth="true" hidden="false" outlineLevel="0" max="14" min="14" style="1" width="60"/>
  </cols>
  <sheetData>
    <row r="1" customFormat="false" ht="18" hidden="false" customHeight="true" outlineLevel="0" collapsed="false">
      <c r="A1" s="2" t="s">
        <v>2071</v>
      </c>
    </row>
    <row r="2" customFormat="false" ht="15" hidden="false" customHeight="true" outlineLevel="0" collapsed="false">
      <c r="A2" s="3" t="s">
        <v>2072</v>
      </c>
    </row>
    <row r="4" customFormat="false" ht="30" hidden="false" customHeight="true" outlineLevel="0" collapsed="false">
      <c r="A4" s="4" t="s">
        <v>33</v>
      </c>
      <c r="B4" s="4" t="s">
        <v>45</v>
      </c>
      <c r="C4" s="4" t="s">
        <v>46</v>
      </c>
      <c r="D4" s="4" t="s">
        <v>47</v>
      </c>
      <c r="E4" s="4" t="s">
        <v>48</v>
      </c>
      <c r="F4" s="4" t="s">
        <v>49</v>
      </c>
      <c r="G4" s="4" t="s">
        <v>50</v>
      </c>
      <c r="H4" s="4" t="s">
        <v>51</v>
      </c>
      <c r="I4" s="4" t="s">
        <v>52</v>
      </c>
      <c r="J4" s="4" t="s">
        <v>2073</v>
      </c>
      <c r="K4" s="4" t="s">
        <v>53</v>
      </c>
      <c r="L4" s="4" t="s">
        <v>54</v>
      </c>
      <c r="M4" s="4" t="s">
        <v>55</v>
      </c>
      <c r="N4" s="4" t="s">
        <v>56</v>
      </c>
    </row>
    <row r="5" customFormat="false" ht="23.25" hidden="false" customHeight="true" outlineLevel="0" collapsed="false">
      <c r="A5" s="10" t="n">
        <v>99</v>
      </c>
      <c r="B5" s="7" t="s">
        <v>427</v>
      </c>
      <c r="C5" s="7" t="s">
        <v>2074</v>
      </c>
      <c r="D5" s="7" t="s">
        <v>2075</v>
      </c>
      <c r="E5" s="11" t="s">
        <v>60</v>
      </c>
      <c r="F5" s="7" t="s">
        <v>61</v>
      </c>
      <c r="G5" s="7" t="s">
        <v>2076</v>
      </c>
      <c r="H5" s="7" t="s">
        <v>2077</v>
      </c>
      <c r="I5" s="7" t="s">
        <v>2078</v>
      </c>
      <c r="J5" s="7" t="s">
        <v>2079</v>
      </c>
      <c r="K5" s="7" t="s">
        <v>2080</v>
      </c>
      <c r="L5" s="7" t="s">
        <v>2081</v>
      </c>
      <c r="M5" s="12" t="s">
        <v>2082</v>
      </c>
      <c r="N5" s="7" t="s">
        <v>2083</v>
      </c>
    </row>
    <row r="6" customFormat="false" ht="23.25" hidden="false" customHeight="true" outlineLevel="0" collapsed="false">
      <c r="A6" s="13" t="n">
        <v>87</v>
      </c>
      <c r="B6" s="7" t="s">
        <v>2084</v>
      </c>
      <c r="C6" s="7" t="s">
        <v>2085</v>
      </c>
      <c r="D6" s="7" t="s">
        <v>227</v>
      </c>
      <c r="E6" s="14" t="s">
        <v>210</v>
      </c>
      <c r="F6" s="7" t="s">
        <v>228</v>
      </c>
      <c r="G6" s="7" t="s">
        <v>228</v>
      </c>
      <c r="H6" s="7" t="s">
        <v>228</v>
      </c>
      <c r="I6" s="7" t="s">
        <v>229</v>
      </c>
      <c r="J6" s="7" t="s">
        <v>2086</v>
      </c>
      <c r="K6" s="7" t="s">
        <v>227</v>
      </c>
      <c r="L6" s="7" t="s">
        <v>227</v>
      </c>
      <c r="M6" s="12" t="s">
        <v>2087</v>
      </c>
      <c r="N6" s="7" t="s">
        <v>231</v>
      </c>
    </row>
    <row r="7" customFormat="false" ht="45.75" hidden="false" customHeight="true" outlineLevel="0" collapsed="false">
      <c r="A7" s="13" t="n">
        <v>85</v>
      </c>
      <c r="B7" s="7" t="s">
        <v>2088</v>
      </c>
      <c r="C7" s="7" t="s">
        <v>2089</v>
      </c>
      <c r="D7" s="7" t="s">
        <v>2090</v>
      </c>
      <c r="E7" s="14" t="s">
        <v>210</v>
      </c>
      <c r="F7" s="7" t="s">
        <v>61</v>
      </c>
      <c r="G7" s="7" t="s">
        <v>1577</v>
      </c>
      <c r="H7" s="7" t="s">
        <v>63</v>
      </c>
      <c r="I7" s="7" t="s">
        <v>63</v>
      </c>
      <c r="J7" s="7" t="s">
        <v>2091</v>
      </c>
      <c r="K7" s="7" t="s">
        <v>2092</v>
      </c>
      <c r="L7" s="7" t="s">
        <v>2093</v>
      </c>
      <c r="M7" s="12" t="s">
        <v>2094</v>
      </c>
      <c r="N7" s="7" t="s">
        <v>2095</v>
      </c>
    </row>
    <row r="8" customFormat="false" ht="23.25" hidden="false" customHeight="true" outlineLevel="0" collapsed="false">
      <c r="A8" s="10" t="n">
        <v>82</v>
      </c>
      <c r="B8" s="7" t="s">
        <v>2096</v>
      </c>
      <c r="C8" s="7" t="s">
        <v>2097</v>
      </c>
      <c r="D8" s="7" t="s">
        <v>227</v>
      </c>
      <c r="E8" s="11" t="s">
        <v>60</v>
      </c>
      <c r="F8" s="7" t="s">
        <v>228</v>
      </c>
      <c r="G8" s="7" t="s">
        <v>228</v>
      </c>
      <c r="H8" s="7" t="s">
        <v>228</v>
      </c>
      <c r="I8" s="7" t="s">
        <v>229</v>
      </c>
      <c r="J8" s="7" t="s">
        <v>2086</v>
      </c>
      <c r="K8" s="7" t="s">
        <v>227</v>
      </c>
      <c r="L8" s="7" t="s">
        <v>227</v>
      </c>
      <c r="M8" s="12" t="s">
        <v>2098</v>
      </c>
      <c r="N8" s="7" t="s">
        <v>231</v>
      </c>
    </row>
    <row r="9" customFormat="false" ht="45.75" hidden="false" customHeight="true" outlineLevel="0" collapsed="false">
      <c r="A9" s="13" t="n">
        <v>80</v>
      </c>
      <c r="B9" s="7" t="s">
        <v>2099</v>
      </c>
      <c r="C9" s="7" t="s">
        <v>2100</v>
      </c>
      <c r="D9" s="7" t="s">
        <v>2101</v>
      </c>
      <c r="E9" s="14" t="s">
        <v>210</v>
      </c>
      <c r="F9" s="7" t="s">
        <v>61</v>
      </c>
      <c r="G9" s="7" t="s">
        <v>2102</v>
      </c>
      <c r="H9" s="7" t="s">
        <v>63</v>
      </c>
      <c r="I9" s="7" t="s">
        <v>63</v>
      </c>
      <c r="J9" s="7" t="s">
        <v>2103</v>
      </c>
      <c r="K9" s="7" t="s">
        <v>2104</v>
      </c>
      <c r="L9" s="7" t="s">
        <v>2105</v>
      </c>
      <c r="M9" s="12" t="s">
        <v>2106</v>
      </c>
      <c r="N9" s="7" t="s">
        <v>2107</v>
      </c>
    </row>
    <row r="10" customFormat="false" ht="23.25" hidden="false" customHeight="true" outlineLevel="0" collapsed="false">
      <c r="A10" s="13" t="n">
        <v>78</v>
      </c>
      <c r="B10" s="7" t="s">
        <v>2108</v>
      </c>
      <c r="C10" s="7" t="s">
        <v>2109</v>
      </c>
      <c r="D10" s="7" t="s">
        <v>227</v>
      </c>
      <c r="E10" s="14" t="s">
        <v>210</v>
      </c>
      <c r="F10" s="7" t="s">
        <v>228</v>
      </c>
      <c r="G10" s="7" t="s">
        <v>228</v>
      </c>
      <c r="H10" s="7" t="s">
        <v>228</v>
      </c>
      <c r="I10" s="7" t="s">
        <v>229</v>
      </c>
      <c r="J10" s="7" t="s">
        <v>2086</v>
      </c>
      <c r="K10" s="7" t="s">
        <v>227</v>
      </c>
      <c r="L10" s="7" t="s">
        <v>227</v>
      </c>
      <c r="M10" s="12" t="s">
        <v>2110</v>
      </c>
      <c r="N10" s="7" t="s">
        <v>231</v>
      </c>
    </row>
    <row r="11" customFormat="false" ht="23.25" hidden="false" customHeight="true" outlineLevel="0" collapsed="false">
      <c r="A11" s="10" t="n">
        <v>76</v>
      </c>
      <c r="B11" s="7" t="s">
        <v>2111</v>
      </c>
      <c r="C11" s="7" t="s">
        <v>2097</v>
      </c>
      <c r="D11" s="7" t="s">
        <v>227</v>
      </c>
      <c r="E11" s="11" t="s">
        <v>60</v>
      </c>
      <c r="F11" s="7" t="s">
        <v>228</v>
      </c>
      <c r="G11" s="7" t="s">
        <v>228</v>
      </c>
      <c r="H11" s="7" t="s">
        <v>228</v>
      </c>
      <c r="I11" s="7" t="s">
        <v>229</v>
      </c>
      <c r="J11" s="7" t="s">
        <v>2086</v>
      </c>
      <c r="K11" s="7" t="s">
        <v>227</v>
      </c>
      <c r="L11" s="7" t="s">
        <v>227</v>
      </c>
      <c r="M11" s="12" t="s">
        <v>2112</v>
      </c>
      <c r="N11" s="7" t="s">
        <v>231</v>
      </c>
    </row>
    <row r="12" customFormat="false" ht="23.25" hidden="false" customHeight="true" outlineLevel="0" collapsed="false">
      <c r="A12" s="10" t="n">
        <v>74</v>
      </c>
      <c r="B12" s="7" t="s">
        <v>2113</v>
      </c>
      <c r="C12" s="7" t="s">
        <v>2035</v>
      </c>
      <c r="D12" s="7" t="s">
        <v>227</v>
      </c>
      <c r="E12" s="11" t="s">
        <v>60</v>
      </c>
      <c r="F12" s="7" t="s">
        <v>228</v>
      </c>
      <c r="G12" s="7" t="s">
        <v>228</v>
      </c>
      <c r="H12" s="7" t="s">
        <v>228</v>
      </c>
      <c r="I12" s="7" t="s">
        <v>229</v>
      </c>
      <c r="J12" s="7" t="s">
        <v>2086</v>
      </c>
      <c r="K12" s="7" t="s">
        <v>227</v>
      </c>
      <c r="L12" s="7" t="s">
        <v>227</v>
      </c>
      <c r="M12" s="12" t="s">
        <v>2114</v>
      </c>
      <c r="N12" s="7" t="s">
        <v>231</v>
      </c>
    </row>
    <row r="13" customFormat="false" ht="23.25" hidden="false" customHeight="true" outlineLevel="0" collapsed="false">
      <c r="A13" s="10" t="n">
        <v>73</v>
      </c>
      <c r="B13" s="7" t="s">
        <v>2115</v>
      </c>
      <c r="C13" s="7" t="s">
        <v>2035</v>
      </c>
      <c r="D13" s="7" t="s">
        <v>227</v>
      </c>
      <c r="E13" s="11" t="s">
        <v>60</v>
      </c>
      <c r="F13" s="7" t="s">
        <v>228</v>
      </c>
      <c r="G13" s="7" t="s">
        <v>228</v>
      </c>
      <c r="H13" s="7" t="s">
        <v>228</v>
      </c>
      <c r="I13" s="7" t="s">
        <v>229</v>
      </c>
      <c r="J13" s="7" t="s">
        <v>2086</v>
      </c>
      <c r="K13" s="7" t="s">
        <v>227</v>
      </c>
      <c r="L13" s="7" t="s">
        <v>227</v>
      </c>
      <c r="M13" s="12" t="s">
        <v>2116</v>
      </c>
      <c r="N13" s="7" t="s">
        <v>231</v>
      </c>
    </row>
    <row r="14" customFormat="false" ht="45.75" hidden="false" customHeight="true" outlineLevel="0" collapsed="false">
      <c r="A14" s="13" t="n">
        <v>72</v>
      </c>
      <c r="B14" s="7" t="s">
        <v>2117</v>
      </c>
      <c r="C14" s="7" t="s">
        <v>2118</v>
      </c>
      <c r="D14" s="7" t="s">
        <v>2119</v>
      </c>
      <c r="E14" s="14" t="s">
        <v>210</v>
      </c>
      <c r="F14" s="7" t="s">
        <v>61</v>
      </c>
      <c r="G14" s="7" t="s">
        <v>2120</v>
      </c>
      <c r="H14" s="7" t="s">
        <v>63</v>
      </c>
      <c r="I14" s="7" t="s">
        <v>63</v>
      </c>
      <c r="J14" s="7" t="s">
        <v>2121</v>
      </c>
      <c r="K14" s="7" t="s">
        <v>2122</v>
      </c>
      <c r="L14" s="7" t="s">
        <v>2123</v>
      </c>
      <c r="M14" s="12" t="s">
        <v>2124</v>
      </c>
      <c r="N14" s="7" t="s">
        <v>2125</v>
      </c>
    </row>
    <row r="15" customFormat="false" ht="23.25" hidden="false" customHeight="true" outlineLevel="0" collapsed="false">
      <c r="A15" s="13" t="n">
        <v>70</v>
      </c>
      <c r="B15" s="7" t="s">
        <v>2126</v>
      </c>
      <c r="C15" s="7" t="s">
        <v>2127</v>
      </c>
      <c r="D15" s="7" t="s">
        <v>292</v>
      </c>
      <c r="E15" s="14" t="s">
        <v>210</v>
      </c>
      <c r="F15" s="7" t="s">
        <v>61</v>
      </c>
      <c r="G15" s="7" t="s">
        <v>2128</v>
      </c>
      <c r="H15" s="7" t="s">
        <v>63</v>
      </c>
      <c r="I15" s="7" t="s">
        <v>229</v>
      </c>
      <c r="J15" s="7" t="s">
        <v>2079</v>
      </c>
      <c r="K15" s="7" t="s">
        <v>2129</v>
      </c>
      <c r="L15" s="7" t="s">
        <v>2130</v>
      </c>
      <c r="M15" s="12" t="s">
        <v>2131</v>
      </c>
      <c r="N15" s="7" t="s">
        <v>2132</v>
      </c>
    </row>
    <row r="16" customFormat="false" ht="34.5" hidden="false" customHeight="true" outlineLevel="0" collapsed="false">
      <c r="A16" s="13" t="n">
        <v>70</v>
      </c>
      <c r="B16" s="7" t="s">
        <v>2133</v>
      </c>
      <c r="C16" s="7" t="s">
        <v>2134</v>
      </c>
      <c r="D16" s="7" t="s">
        <v>2135</v>
      </c>
      <c r="E16" s="14" t="s">
        <v>210</v>
      </c>
      <c r="F16" s="7" t="s">
        <v>61</v>
      </c>
      <c r="G16" s="7" t="s">
        <v>2136</v>
      </c>
      <c r="H16" s="7" t="s">
        <v>2137</v>
      </c>
      <c r="I16" s="7" t="s">
        <v>63</v>
      </c>
      <c r="J16" s="7" t="s">
        <v>2138</v>
      </c>
      <c r="K16" s="7" t="s">
        <v>2139</v>
      </c>
      <c r="L16" s="7" t="s">
        <v>2140</v>
      </c>
      <c r="M16" s="12" t="s">
        <v>2141</v>
      </c>
      <c r="N16" s="7" t="s">
        <v>2142</v>
      </c>
    </row>
    <row r="17" customFormat="false" ht="34.5" hidden="false" customHeight="true" outlineLevel="0" collapsed="false">
      <c r="A17" s="13" t="n">
        <v>70</v>
      </c>
      <c r="B17" s="7" t="s">
        <v>2143</v>
      </c>
      <c r="C17" s="7" t="s">
        <v>2144</v>
      </c>
      <c r="D17" s="7" t="s">
        <v>2145</v>
      </c>
      <c r="E17" s="14" t="s">
        <v>210</v>
      </c>
      <c r="F17" s="7" t="s">
        <v>61</v>
      </c>
      <c r="G17" s="7" t="s">
        <v>2146</v>
      </c>
      <c r="H17" s="7" t="s">
        <v>63</v>
      </c>
      <c r="I17" s="7" t="s">
        <v>63</v>
      </c>
      <c r="J17" s="7" t="s">
        <v>2147</v>
      </c>
      <c r="K17" s="7" t="s">
        <v>2148</v>
      </c>
      <c r="L17" s="7" t="s">
        <v>2149</v>
      </c>
      <c r="M17" s="12" t="s">
        <v>2150</v>
      </c>
      <c r="N17" s="7" t="s">
        <v>2151</v>
      </c>
    </row>
    <row r="18" customFormat="false" ht="23.25" hidden="false" customHeight="true" outlineLevel="0" collapsed="false">
      <c r="A18" s="13" t="n">
        <v>70</v>
      </c>
      <c r="B18" s="7" t="s">
        <v>918</v>
      </c>
      <c r="C18" s="7" t="s">
        <v>2109</v>
      </c>
      <c r="D18" s="7" t="s">
        <v>227</v>
      </c>
      <c r="E18" s="14" t="s">
        <v>210</v>
      </c>
      <c r="F18" s="7" t="s">
        <v>228</v>
      </c>
      <c r="G18" s="7" t="s">
        <v>228</v>
      </c>
      <c r="H18" s="7" t="s">
        <v>228</v>
      </c>
      <c r="I18" s="7" t="s">
        <v>229</v>
      </c>
      <c r="J18" s="7" t="s">
        <v>2086</v>
      </c>
      <c r="K18" s="7" t="s">
        <v>227</v>
      </c>
      <c r="L18" s="7" t="s">
        <v>227</v>
      </c>
      <c r="M18" s="12" t="s">
        <v>2152</v>
      </c>
      <c r="N18" s="7" t="s">
        <v>231</v>
      </c>
    </row>
    <row r="19" customFormat="false" ht="45.75" hidden="false" customHeight="true" outlineLevel="0" collapsed="false">
      <c r="A19" s="13" t="n">
        <v>68</v>
      </c>
      <c r="B19" s="7" t="s">
        <v>2153</v>
      </c>
      <c r="C19" s="7" t="s">
        <v>2154</v>
      </c>
      <c r="D19" s="7" t="s">
        <v>910</v>
      </c>
      <c r="E19" s="14" t="s">
        <v>210</v>
      </c>
      <c r="F19" s="7" t="s">
        <v>61</v>
      </c>
      <c r="G19" s="7" t="s">
        <v>2155</v>
      </c>
      <c r="H19" s="7" t="s">
        <v>2156</v>
      </c>
      <c r="I19" s="7" t="s">
        <v>63</v>
      </c>
      <c r="J19" s="7" t="s">
        <v>2157</v>
      </c>
      <c r="K19" s="7" t="s">
        <v>2158</v>
      </c>
      <c r="L19" s="7" t="s">
        <v>2159</v>
      </c>
      <c r="M19" s="12" t="s">
        <v>2160</v>
      </c>
      <c r="N19" s="7" t="s">
        <v>2161</v>
      </c>
    </row>
    <row r="20" customFormat="false" ht="34.5" hidden="false" customHeight="true" outlineLevel="0" collapsed="false">
      <c r="A20" s="13" t="n">
        <v>68</v>
      </c>
      <c r="B20" s="7" t="s">
        <v>2162</v>
      </c>
      <c r="C20" s="7" t="s">
        <v>2163</v>
      </c>
      <c r="D20" s="7" t="s">
        <v>2164</v>
      </c>
      <c r="E20" s="14" t="s">
        <v>210</v>
      </c>
      <c r="F20" s="7" t="s">
        <v>61</v>
      </c>
      <c r="G20" s="7" t="s">
        <v>2165</v>
      </c>
      <c r="H20" s="7" t="s">
        <v>63</v>
      </c>
      <c r="I20" s="7" t="s">
        <v>63</v>
      </c>
      <c r="J20" s="7" t="s">
        <v>2166</v>
      </c>
      <c r="K20" s="7" t="s">
        <v>2167</v>
      </c>
      <c r="L20" s="7" t="s">
        <v>2168</v>
      </c>
      <c r="M20" s="12" t="s">
        <v>2169</v>
      </c>
      <c r="N20" s="7" t="s">
        <v>2170</v>
      </c>
    </row>
    <row r="21" customFormat="false" ht="23.25" hidden="false" customHeight="true" outlineLevel="0" collapsed="false">
      <c r="A21" s="13" t="n">
        <v>68</v>
      </c>
      <c r="B21" s="7" t="s">
        <v>2171</v>
      </c>
      <c r="C21" s="7" t="s">
        <v>2097</v>
      </c>
      <c r="D21" s="7" t="s">
        <v>227</v>
      </c>
      <c r="E21" s="14" t="s">
        <v>210</v>
      </c>
      <c r="F21" s="7" t="s">
        <v>228</v>
      </c>
      <c r="G21" s="7" t="s">
        <v>228</v>
      </c>
      <c r="H21" s="7" t="s">
        <v>228</v>
      </c>
      <c r="I21" s="7" t="s">
        <v>229</v>
      </c>
      <c r="J21" s="7" t="s">
        <v>2086</v>
      </c>
      <c r="K21" s="7" t="s">
        <v>227</v>
      </c>
      <c r="L21" s="7" t="s">
        <v>227</v>
      </c>
      <c r="M21" s="12" t="s">
        <v>2172</v>
      </c>
      <c r="N21" s="7" t="s">
        <v>231</v>
      </c>
    </row>
    <row r="22" customFormat="false" ht="34.5" hidden="false" customHeight="true" outlineLevel="0" collapsed="false">
      <c r="A22" s="13" t="n">
        <v>67</v>
      </c>
      <c r="B22" s="7" t="s">
        <v>2173</v>
      </c>
      <c r="C22" s="7" t="s">
        <v>2174</v>
      </c>
      <c r="D22" s="7" t="s">
        <v>2175</v>
      </c>
      <c r="E22" s="14" t="s">
        <v>210</v>
      </c>
      <c r="F22" s="7" t="s">
        <v>61</v>
      </c>
      <c r="G22" s="7" t="s">
        <v>2176</v>
      </c>
      <c r="H22" s="7" t="s">
        <v>63</v>
      </c>
      <c r="I22" s="7" t="s">
        <v>63</v>
      </c>
      <c r="J22" s="7" t="s">
        <v>2177</v>
      </c>
      <c r="K22" s="7" t="s">
        <v>2178</v>
      </c>
      <c r="L22" s="7" t="s">
        <v>2179</v>
      </c>
      <c r="M22" s="12" t="s">
        <v>2180</v>
      </c>
      <c r="N22" s="7" t="s">
        <v>2181</v>
      </c>
    </row>
    <row r="23" customFormat="false" ht="34.5" hidden="false" customHeight="true" outlineLevel="0" collapsed="false">
      <c r="A23" s="13" t="n">
        <v>67</v>
      </c>
      <c r="B23" s="7" t="s">
        <v>2182</v>
      </c>
      <c r="C23" s="7" t="s">
        <v>2183</v>
      </c>
      <c r="D23" s="7" t="s">
        <v>446</v>
      </c>
      <c r="E23" s="14" t="s">
        <v>210</v>
      </c>
      <c r="F23" s="7" t="s">
        <v>61</v>
      </c>
      <c r="G23" s="7" t="s">
        <v>1577</v>
      </c>
      <c r="H23" s="7" t="s">
        <v>724</v>
      </c>
      <c r="I23" s="7" t="s">
        <v>63</v>
      </c>
      <c r="J23" s="7" t="s">
        <v>2184</v>
      </c>
      <c r="K23" s="7" t="s">
        <v>2185</v>
      </c>
      <c r="L23" s="7" t="s">
        <v>2186</v>
      </c>
      <c r="M23" s="12" t="s">
        <v>2187</v>
      </c>
      <c r="N23" s="7" t="s">
        <v>2188</v>
      </c>
    </row>
    <row r="24" customFormat="false" ht="23.25" hidden="false" customHeight="true" outlineLevel="0" collapsed="false">
      <c r="A24" s="10" t="n">
        <v>67</v>
      </c>
      <c r="B24" s="7" t="s">
        <v>2189</v>
      </c>
      <c r="C24" s="7" t="s">
        <v>2035</v>
      </c>
      <c r="D24" s="7" t="s">
        <v>227</v>
      </c>
      <c r="E24" s="11" t="s">
        <v>60</v>
      </c>
      <c r="F24" s="7" t="s">
        <v>228</v>
      </c>
      <c r="G24" s="7" t="s">
        <v>228</v>
      </c>
      <c r="H24" s="7" t="s">
        <v>228</v>
      </c>
      <c r="I24" s="7" t="s">
        <v>229</v>
      </c>
      <c r="J24" s="7" t="s">
        <v>2086</v>
      </c>
      <c r="K24" s="7" t="s">
        <v>227</v>
      </c>
      <c r="L24" s="7" t="s">
        <v>227</v>
      </c>
      <c r="M24" s="12" t="s">
        <v>2190</v>
      </c>
      <c r="N24" s="7" t="s">
        <v>231</v>
      </c>
    </row>
    <row r="25" customFormat="false" ht="23.25" hidden="false" customHeight="true" outlineLevel="0" collapsed="false">
      <c r="A25" s="13" t="n">
        <v>66</v>
      </c>
      <c r="B25" s="7" t="s">
        <v>2191</v>
      </c>
      <c r="C25" s="7" t="s">
        <v>2192</v>
      </c>
      <c r="D25" s="7" t="s">
        <v>227</v>
      </c>
      <c r="E25" s="14" t="s">
        <v>210</v>
      </c>
      <c r="F25" s="7" t="s">
        <v>228</v>
      </c>
      <c r="G25" s="7" t="s">
        <v>228</v>
      </c>
      <c r="H25" s="7" t="s">
        <v>228</v>
      </c>
      <c r="I25" s="7" t="s">
        <v>229</v>
      </c>
      <c r="J25" s="7" t="s">
        <v>2086</v>
      </c>
      <c r="K25" s="7" t="s">
        <v>227</v>
      </c>
      <c r="L25" s="7" t="s">
        <v>227</v>
      </c>
      <c r="M25" s="12" t="s">
        <v>2193</v>
      </c>
      <c r="N25" s="7" t="s">
        <v>231</v>
      </c>
    </row>
    <row r="26" customFormat="false" ht="45.75" hidden="false" customHeight="true" outlineLevel="0" collapsed="false">
      <c r="A26" s="13" t="n">
        <v>65</v>
      </c>
      <c r="B26" s="7" t="s">
        <v>2194</v>
      </c>
      <c r="C26" s="7" t="s">
        <v>2195</v>
      </c>
      <c r="D26" s="7" t="s">
        <v>2196</v>
      </c>
      <c r="E26" s="14" t="s">
        <v>210</v>
      </c>
      <c r="F26" s="7" t="s">
        <v>61</v>
      </c>
      <c r="G26" s="7" t="s">
        <v>2197</v>
      </c>
      <c r="H26" s="7" t="s">
        <v>63</v>
      </c>
      <c r="I26" s="7" t="s">
        <v>2198</v>
      </c>
      <c r="J26" s="7" t="s">
        <v>2199</v>
      </c>
      <c r="K26" s="7" t="s">
        <v>2200</v>
      </c>
      <c r="L26" s="7" t="s">
        <v>2201</v>
      </c>
      <c r="M26" s="12" t="s">
        <v>2202</v>
      </c>
      <c r="N26" s="7" t="s">
        <v>2203</v>
      </c>
    </row>
    <row r="27" customFormat="false" ht="23.25" hidden="false" customHeight="true" outlineLevel="0" collapsed="false">
      <c r="A27" s="13" t="n">
        <v>65</v>
      </c>
      <c r="B27" s="7" t="s">
        <v>2191</v>
      </c>
      <c r="C27" s="7" t="s">
        <v>2204</v>
      </c>
      <c r="D27" s="7" t="s">
        <v>227</v>
      </c>
      <c r="E27" s="14" t="s">
        <v>210</v>
      </c>
      <c r="F27" s="7" t="s">
        <v>228</v>
      </c>
      <c r="G27" s="7" t="s">
        <v>228</v>
      </c>
      <c r="H27" s="7" t="s">
        <v>228</v>
      </c>
      <c r="I27" s="7" t="s">
        <v>229</v>
      </c>
      <c r="J27" s="7" t="s">
        <v>2086</v>
      </c>
      <c r="K27" s="7" t="s">
        <v>227</v>
      </c>
      <c r="L27" s="7" t="s">
        <v>227</v>
      </c>
      <c r="M27" s="12" t="s">
        <v>2205</v>
      </c>
      <c r="N27" s="7" t="s">
        <v>231</v>
      </c>
    </row>
    <row r="28" customFormat="false" ht="34.5" hidden="false" customHeight="true" outlineLevel="0" collapsed="false">
      <c r="A28" s="13" t="n">
        <v>64</v>
      </c>
      <c r="B28" s="7" t="s">
        <v>2206</v>
      </c>
      <c r="C28" s="7" t="s">
        <v>2207</v>
      </c>
      <c r="D28" s="7" t="s">
        <v>2208</v>
      </c>
      <c r="E28" s="14" t="s">
        <v>210</v>
      </c>
      <c r="F28" s="7" t="s">
        <v>61</v>
      </c>
      <c r="G28" s="7" t="s">
        <v>2165</v>
      </c>
      <c r="H28" s="7" t="s">
        <v>63</v>
      </c>
      <c r="I28" s="7" t="s">
        <v>63</v>
      </c>
      <c r="J28" s="7" t="s">
        <v>2209</v>
      </c>
      <c r="K28" s="7" t="s">
        <v>2210</v>
      </c>
      <c r="L28" s="7" t="s">
        <v>2211</v>
      </c>
      <c r="M28" s="12" t="s">
        <v>2169</v>
      </c>
      <c r="N28" s="7" t="s">
        <v>2212</v>
      </c>
    </row>
    <row r="29" customFormat="false" ht="45.75" hidden="false" customHeight="true" outlineLevel="0" collapsed="false">
      <c r="A29" s="13" t="n">
        <v>63</v>
      </c>
      <c r="B29" s="7" t="s">
        <v>2213</v>
      </c>
      <c r="C29" s="7" t="s">
        <v>2214</v>
      </c>
      <c r="D29" s="7" t="s">
        <v>2215</v>
      </c>
      <c r="E29" s="14" t="s">
        <v>210</v>
      </c>
      <c r="F29" s="7" t="s">
        <v>61</v>
      </c>
      <c r="G29" s="7" t="s">
        <v>2216</v>
      </c>
      <c r="H29" s="7" t="s">
        <v>63</v>
      </c>
      <c r="I29" s="7" t="s">
        <v>63</v>
      </c>
      <c r="J29" s="7" t="s">
        <v>2217</v>
      </c>
      <c r="K29" s="7" t="s">
        <v>2218</v>
      </c>
      <c r="L29" s="7" t="s">
        <v>2219</v>
      </c>
      <c r="M29" s="12" t="s">
        <v>2220</v>
      </c>
      <c r="N29" s="7" t="s">
        <v>2221</v>
      </c>
    </row>
    <row r="30" customFormat="false" ht="34.5" hidden="false" customHeight="true" outlineLevel="0" collapsed="false">
      <c r="A30" s="13" t="n">
        <v>63</v>
      </c>
      <c r="B30" s="7" t="s">
        <v>2222</v>
      </c>
      <c r="C30" s="7" t="s">
        <v>2223</v>
      </c>
      <c r="D30" s="7" t="s">
        <v>2224</v>
      </c>
      <c r="E30" s="14" t="s">
        <v>210</v>
      </c>
      <c r="F30" s="7" t="s">
        <v>61</v>
      </c>
      <c r="G30" s="7" t="s">
        <v>2176</v>
      </c>
      <c r="H30" s="7" t="s">
        <v>724</v>
      </c>
      <c r="I30" s="7" t="s">
        <v>63</v>
      </c>
      <c r="J30" s="7" t="s">
        <v>2225</v>
      </c>
      <c r="K30" s="7" t="s">
        <v>2226</v>
      </c>
      <c r="L30" s="7" t="s">
        <v>2227</v>
      </c>
      <c r="M30" s="12" t="s">
        <v>2228</v>
      </c>
      <c r="N30" s="7" t="s">
        <v>2229</v>
      </c>
    </row>
    <row r="31" customFormat="false" ht="34.5" hidden="false" customHeight="true" outlineLevel="0" collapsed="false">
      <c r="A31" s="13" t="n">
        <v>63</v>
      </c>
      <c r="B31" s="7" t="s">
        <v>2230</v>
      </c>
      <c r="C31" s="7" t="s">
        <v>2231</v>
      </c>
      <c r="D31" s="7" t="s">
        <v>446</v>
      </c>
      <c r="E31" s="14" t="s">
        <v>210</v>
      </c>
      <c r="F31" s="7" t="s">
        <v>61</v>
      </c>
      <c r="G31" s="7" t="s">
        <v>1577</v>
      </c>
      <c r="H31" s="7" t="s">
        <v>2232</v>
      </c>
      <c r="I31" s="7" t="s">
        <v>63</v>
      </c>
      <c r="J31" s="7" t="s">
        <v>2233</v>
      </c>
      <c r="K31" s="7" t="s">
        <v>2234</v>
      </c>
      <c r="L31" s="7" t="s">
        <v>2235</v>
      </c>
      <c r="M31" s="12" t="s">
        <v>2236</v>
      </c>
      <c r="N31" s="7" t="s">
        <v>2237</v>
      </c>
    </row>
    <row r="32" customFormat="false" ht="23.25" hidden="false" customHeight="true" outlineLevel="0" collapsed="false">
      <c r="A32" s="13" t="n">
        <v>63</v>
      </c>
      <c r="B32" s="7" t="s">
        <v>2238</v>
      </c>
      <c r="C32" s="7" t="s">
        <v>2239</v>
      </c>
      <c r="D32" s="7" t="s">
        <v>227</v>
      </c>
      <c r="E32" s="14" t="s">
        <v>210</v>
      </c>
      <c r="F32" s="7" t="s">
        <v>228</v>
      </c>
      <c r="G32" s="7" t="s">
        <v>228</v>
      </c>
      <c r="H32" s="7" t="s">
        <v>228</v>
      </c>
      <c r="I32" s="7" t="s">
        <v>229</v>
      </c>
      <c r="J32" s="7" t="s">
        <v>2086</v>
      </c>
      <c r="K32" s="7" t="s">
        <v>227</v>
      </c>
      <c r="L32" s="7" t="s">
        <v>227</v>
      </c>
      <c r="M32" s="12" t="s">
        <v>2240</v>
      </c>
      <c r="N32" s="7" t="s">
        <v>231</v>
      </c>
    </row>
    <row r="33" customFormat="false" ht="23.25" hidden="false" customHeight="true" outlineLevel="0" collapsed="false">
      <c r="A33" s="10" t="n">
        <v>60</v>
      </c>
      <c r="B33" s="7" t="s">
        <v>2241</v>
      </c>
      <c r="C33" s="7" t="s">
        <v>2035</v>
      </c>
      <c r="D33" s="7" t="s">
        <v>227</v>
      </c>
      <c r="E33" s="11" t="s">
        <v>60</v>
      </c>
      <c r="F33" s="7" t="s">
        <v>228</v>
      </c>
      <c r="G33" s="7" t="s">
        <v>228</v>
      </c>
      <c r="H33" s="7" t="s">
        <v>228</v>
      </c>
      <c r="I33" s="7" t="s">
        <v>229</v>
      </c>
      <c r="J33" s="7" t="s">
        <v>2086</v>
      </c>
      <c r="K33" s="7" t="s">
        <v>227</v>
      </c>
      <c r="L33" s="7" t="s">
        <v>227</v>
      </c>
      <c r="M33" s="12" t="s">
        <v>2242</v>
      </c>
      <c r="N33" s="7" t="s">
        <v>231</v>
      </c>
    </row>
    <row r="34" customFormat="false" ht="45.75" hidden="false" customHeight="true" outlineLevel="0" collapsed="false">
      <c r="A34" s="13" t="n">
        <v>59</v>
      </c>
      <c r="B34" s="7" t="s">
        <v>2243</v>
      </c>
      <c r="C34" s="7" t="s">
        <v>2244</v>
      </c>
      <c r="D34" s="7" t="s">
        <v>2245</v>
      </c>
      <c r="E34" s="14" t="s">
        <v>210</v>
      </c>
      <c r="F34" s="7" t="s">
        <v>61</v>
      </c>
      <c r="G34" s="7" t="s">
        <v>2246</v>
      </c>
      <c r="H34" s="7" t="s">
        <v>63</v>
      </c>
      <c r="I34" s="7" t="s">
        <v>63</v>
      </c>
      <c r="J34" s="7" t="s">
        <v>2247</v>
      </c>
      <c r="K34" s="7" t="s">
        <v>2248</v>
      </c>
      <c r="L34" s="7" t="s">
        <v>2249</v>
      </c>
      <c r="M34" s="12" t="s">
        <v>2250</v>
      </c>
      <c r="N34" s="7" t="s">
        <v>2251</v>
      </c>
    </row>
    <row r="35" customFormat="false" ht="23.25" hidden="false" customHeight="true" outlineLevel="0" collapsed="false">
      <c r="A35" s="10" t="n">
        <v>58</v>
      </c>
      <c r="B35" s="7" t="s">
        <v>570</v>
      </c>
      <c r="C35" s="7" t="s">
        <v>2252</v>
      </c>
      <c r="D35" s="7" t="s">
        <v>227</v>
      </c>
      <c r="E35" s="11" t="s">
        <v>60</v>
      </c>
      <c r="F35" s="7" t="s">
        <v>228</v>
      </c>
      <c r="G35" s="7" t="s">
        <v>228</v>
      </c>
      <c r="H35" s="7" t="s">
        <v>228</v>
      </c>
      <c r="I35" s="7" t="s">
        <v>229</v>
      </c>
      <c r="J35" s="7" t="s">
        <v>2086</v>
      </c>
      <c r="K35" s="7" t="s">
        <v>227</v>
      </c>
      <c r="L35" s="7" t="s">
        <v>227</v>
      </c>
      <c r="M35" s="12" t="s">
        <v>2253</v>
      </c>
      <c r="N35" s="7" t="s">
        <v>231</v>
      </c>
    </row>
  </sheetData>
  <autoFilter ref="A4:N35"/>
  <hyperlinks>
    <hyperlink ref="M5" r:id="rId1" display="https://join.com/companies/shippypro953/16512307-gtm-engineer"/>
    <hyperlink ref="M6" r:id="rId2" display="https://hometogo.jobs.personio.de/job/2670372"/>
    <hyperlink ref="M7" r:id="rId3" display="https://www.holidu.com/careers/ai-engineer-agentic-experience-all-genders"/>
    <hyperlink ref="M8" r:id="rId4" display="https://www.mews.com/en/careers/jobs/4861788101?gh_jid=4861788101"/>
    <hyperlink ref="M9" r:id="rId5" display="https://career.limehome.de/o/product-engineer-mid-level-dfm"/>
    <hyperlink ref="M10" r:id="rId6" display="https://jobs.lever.co/lodgify/e1eab491-a863-4292-8912-0449992aea60"/>
    <hyperlink ref="M11" r:id="rId7" display="https://www.mews.com/en/careers/jobs/4852746101?gh_jid=4852746101"/>
    <hyperlink ref="M12" r:id="rId8" display="https://careers.hostaway.com/o/senior-backend-engineer-communications-100-remote-emea"/>
    <hyperlink ref="M13" r:id="rId9" display="https://careers.hostaway.com/o/senior-backend-engineer-booking-engine-remote"/>
    <hyperlink ref="M14" r:id="rId10" display="https://career.limehome.de/o/senior-growth-marketing-manager-mfd"/>
    <hyperlink ref="M15" r:id="rId11" display="https://www.arbeitnow.com/jobs/companies/apaleo/growth-marketing-architect-berlin-338944"/>
    <hyperlink ref="M16" r:id="rId12" display="https://careers.bobw.co/jobs/7691081-product-manager-commercial-growth"/>
    <hyperlink ref="M17" r:id="rId13" display="https://www.guesty.com/careers-open-positions/co/barcelona/16.D6E/data-analyst/"/>
    <hyperlink ref="M18" r:id="rId14" display="https://jobs.lever.co/lodgify/d99f7960-cf71-4fd9-b87a-08066b00d07e"/>
    <hyperlink ref="M19" r:id="rId15" display="https://career.limehome.de/o/product-manager-payments-billing-mfd"/>
    <hyperlink ref="M20" r:id="rId16" display="https://job-boards.greenhouse.io/amenitiz"/>
    <hyperlink ref="M21" r:id="rId17" display="https://www.mews.com/en/careers/jobs/4826070101?gh_jid=4826070101"/>
    <hyperlink ref="M22" r:id="rId18" display="https://job-boards.greenhouse.io/getyourguide/jobs/7976582"/>
    <hyperlink ref="M23" r:id="rId19" display="https://job-boards.greenhouse.io/getyourguide/jobs/7552392"/>
    <hyperlink ref="M24" r:id="rId20" display="https://careers.hostaway.com/o/senior-frontend-engineer-100-remote-emea-1"/>
    <hyperlink ref="M25" r:id="rId21" display="https://hometogo.jobs.personio.de/job/2728178"/>
    <hyperlink ref="M26" r:id="rId22" display="https://startup.jobs/senior-full-stack-engineer-m-f-d-numa-8746112"/>
    <hyperlink ref="M27" r:id="rId23" display="https://hometogo.jobs.personio.de/job/2595767"/>
    <hyperlink ref="M28" r:id="rId24" display="https://job-boards.greenhouse.io/amenitiz"/>
    <hyperlink ref="M29" r:id="rId25" display="https://job-boards.eu.greenhouse.io/lighthouse/jobs/4849717101"/>
    <hyperlink ref="M30" r:id="rId26" display="https://job-boards.greenhouse.io/getyourguide/jobs/7979056"/>
    <hyperlink ref="M31" r:id="rId27" display="https://job-boards.greenhouse.io/getyourguide/jobs/7887400"/>
    <hyperlink ref="M32" r:id="rId28" display="https://www.mindspace.me/careers/warsaw/salesforce-genai-builder/73.D67/"/>
    <hyperlink ref="M33" r:id="rId29" display="https://careers.hostaway.com/o/senior-backend-engineer-developer-experience-100-remote-emea"/>
    <hyperlink ref="M34" r:id="rId30" display="https://deskbird.jobs.personio.com/job/2588364"/>
    <hyperlink ref="M35" r:id="rId31" display="https://job-boards.greenhouse.io/cloudbeds/jobs/4717008005"/>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6"/>
    <col collapsed="false" customWidth="true" hidden="false" outlineLevel="0" max="3" min="3" style="1" width="50"/>
    <col collapsed="false" customWidth="true" hidden="false" outlineLevel="0" max="4" min="4" style="1" width="18"/>
    <col collapsed="false" customWidth="true" hidden="false" outlineLevel="0" max="5" min="5" style="1" width="76"/>
    <col collapsed="false" customWidth="true" hidden="false" outlineLevel="0" max="6" min="6" style="1" width="46"/>
    <col collapsed="false" customWidth="true" hidden="false" outlineLevel="0" max="7" min="7" style="1" width="50"/>
  </cols>
  <sheetData>
    <row r="1" customFormat="false" ht="18" hidden="false" customHeight="true" outlineLevel="0" collapsed="false">
      <c r="A1" s="2" t="s">
        <v>2254</v>
      </c>
    </row>
    <row r="2" customFormat="false" ht="15" hidden="false" customHeight="true" outlineLevel="0" collapsed="false">
      <c r="A2" s="3" t="s">
        <v>2255</v>
      </c>
    </row>
    <row r="4" customFormat="false" ht="30" hidden="false" customHeight="true" outlineLevel="0" collapsed="false">
      <c r="A4" s="4" t="s">
        <v>2256</v>
      </c>
      <c r="B4" s="4" t="s">
        <v>46</v>
      </c>
      <c r="C4" s="4" t="s">
        <v>45</v>
      </c>
      <c r="D4" s="4" t="s">
        <v>2257</v>
      </c>
      <c r="E4" s="4" t="s">
        <v>2258</v>
      </c>
      <c r="F4" s="4" t="s">
        <v>2259</v>
      </c>
      <c r="G4" s="4" t="s">
        <v>2260</v>
      </c>
    </row>
    <row r="5" customFormat="false" ht="15" hidden="false" customHeight="true" outlineLevel="0" collapsed="false">
      <c r="A5" s="17" t="n">
        <v>1</v>
      </c>
      <c r="B5" s="7" t="s">
        <v>2261</v>
      </c>
      <c r="C5" s="7" t="s">
        <v>2262</v>
      </c>
      <c r="D5" s="7" t="s">
        <v>2263</v>
      </c>
      <c r="E5" s="7" t="s">
        <v>2264</v>
      </c>
      <c r="F5" s="7" t="s">
        <v>2265</v>
      </c>
      <c r="G5" s="12" t="s">
        <v>2266</v>
      </c>
    </row>
    <row r="6" customFormat="false" ht="15" hidden="false" customHeight="true" outlineLevel="0" collapsed="false">
      <c r="A6" s="17" t="n">
        <v>2</v>
      </c>
      <c r="B6" s="7" t="s">
        <v>2267</v>
      </c>
      <c r="C6" s="7" t="s">
        <v>427</v>
      </c>
      <c r="D6" s="7" t="s">
        <v>2263</v>
      </c>
      <c r="E6" s="7" t="s">
        <v>2264</v>
      </c>
      <c r="F6" s="7" t="s">
        <v>2265</v>
      </c>
      <c r="G6" s="12" t="s">
        <v>2268</v>
      </c>
    </row>
    <row r="7" customFormat="false" ht="15" hidden="false" customHeight="true" outlineLevel="0" collapsed="false">
      <c r="A7" s="17" t="n">
        <v>3</v>
      </c>
      <c r="B7" s="7" t="s">
        <v>2269</v>
      </c>
      <c r="C7" s="7" t="s">
        <v>2270</v>
      </c>
      <c r="D7" s="7" t="s">
        <v>2263</v>
      </c>
      <c r="E7" s="7" t="s">
        <v>2264</v>
      </c>
      <c r="F7" s="7" t="s">
        <v>2265</v>
      </c>
      <c r="G7" s="12" t="s">
        <v>2271</v>
      </c>
    </row>
    <row r="8" customFormat="false" ht="15" hidden="false" customHeight="true" outlineLevel="0" collapsed="false">
      <c r="A8" s="17" t="n">
        <v>4</v>
      </c>
      <c r="B8" s="7" t="s">
        <v>2272</v>
      </c>
      <c r="C8" s="7" t="s">
        <v>2273</v>
      </c>
      <c r="D8" s="7" t="s">
        <v>2274</v>
      </c>
      <c r="E8" s="7" t="s">
        <v>2275</v>
      </c>
      <c r="F8" s="7" t="s">
        <v>2276</v>
      </c>
      <c r="G8" s="12" t="s">
        <v>2277</v>
      </c>
    </row>
    <row r="9" customFormat="false" ht="15" hidden="false" customHeight="true" outlineLevel="0" collapsed="false">
      <c r="A9" s="17" t="n">
        <v>5</v>
      </c>
      <c r="B9" s="7" t="s">
        <v>2278</v>
      </c>
      <c r="C9" s="7" t="s">
        <v>2279</v>
      </c>
      <c r="D9" s="7" t="s">
        <v>2274</v>
      </c>
      <c r="E9" s="7" t="s">
        <v>2280</v>
      </c>
      <c r="F9" s="7" t="s">
        <v>2276</v>
      </c>
      <c r="G9" s="12" t="s">
        <v>2281</v>
      </c>
    </row>
    <row r="10" customFormat="false" ht="15" hidden="false" customHeight="true" outlineLevel="0" collapsed="false">
      <c r="A10" s="17" t="n">
        <v>6</v>
      </c>
      <c r="B10" s="7" t="s">
        <v>2278</v>
      </c>
      <c r="C10" s="7" t="s">
        <v>2282</v>
      </c>
      <c r="D10" s="7" t="s">
        <v>2274</v>
      </c>
      <c r="E10" s="7" t="s">
        <v>2280</v>
      </c>
      <c r="F10" s="7" t="s">
        <v>2276</v>
      </c>
      <c r="G10" s="12" t="s">
        <v>2283</v>
      </c>
    </row>
    <row r="11" customFormat="false" ht="15" hidden="false" customHeight="true" outlineLevel="0" collapsed="false">
      <c r="A11" s="17" t="n">
        <v>7</v>
      </c>
      <c r="B11" s="7" t="s">
        <v>2269</v>
      </c>
      <c r="C11" s="7" t="s">
        <v>2284</v>
      </c>
      <c r="D11" s="7" t="s">
        <v>2263</v>
      </c>
      <c r="E11" s="7" t="s">
        <v>2264</v>
      </c>
      <c r="F11" s="7" t="s">
        <v>2265</v>
      </c>
      <c r="G11" s="12" t="s">
        <v>2285</v>
      </c>
    </row>
    <row r="12" customFormat="false" ht="15" hidden="false" customHeight="true" outlineLevel="0" collapsed="false">
      <c r="A12" s="17" t="n">
        <v>8</v>
      </c>
      <c r="B12" s="7" t="s">
        <v>2286</v>
      </c>
      <c r="C12" s="7" t="s">
        <v>2287</v>
      </c>
      <c r="D12" s="7" t="s">
        <v>2274</v>
      </c>
      <c r="E12" s="7" t="s">
        <v>2280</v>
      </c>
      <c r="F12" s="7" t="s">
        <v>2276</v>
      </c>
      <c r="G12" s="12" t="s">
        <v>2288</v>
      </c>
    </row>
    <row r="13" customFormat="false" ht="23.25" hidden="false" customHeight="true" outlineLevel="0" collapsed="false">
      <c r="A13" s="17" t="n">
        <v>9</v>
      </c>
      <c r="B13" s="7" t="s">
        <v>2289</v>
      </c>
      <c r="C13" s="7" t="s">
        <v>2290</v>
      </c>
      <c r="D13" s="7" t="s">
        <v>2274</v>
      </c>
      <c r="E13" s="7" t="s">
        <v>2280</v>
      </c>
      <c r="F13" s="7" t="s">
        <v>2291</v>
      </c>
      <c r="G13" s="12" t="s">
        <v>2292</v>
      </c>
    </row>
    <row r="14" customFormat="false" ht="15" hidden="false" customHeight="true" outlineLevel="0" collapsed="false">
      <c r="A14" s="17" t="n">
        <v>10</v>
      </c>
      <c r="B14" s="7" t="s">
        <v>2293</v>
      </c>
      <c r="C14" s="7" t="s">
        <v>2294</v>
      </c>
      <c r="D14" s="7" t="s">
        <v>2274</v>
      </c>
      <c r="E14" s="7" t="s">
        <v>2280</v>
      </c>
      <c r="F14" s="7" t="s">
        <v>2276</v>
      </c>
      <c r="G14" s="12" t="s">
        <v>2295</v>
      </c>
    </row>
    <row r="15" customFormat="false" ht="15" hidden="false" customHeight="true" outlineLevel="0" collapsed="false">
      <c r="A15" s="17" t="n">
        <v>11</v>
      </c>
      <c r="B15" s="7" t="s">
        <v>2296</v>
      </c>
      <c r="C15" s="7" t="s">
        <v>2297</v>
      </c>
      <c r="D15" s="7" t="s">
        <v>2274</v>
      </c>
      <c r="E15" s="7" t="s">
        <v>2298</v>
      </c>
      <c r="F15" s="7" t="s">
        <v>2276</v>
      </c>
      <c r="G15" s="12" t="s">
        <v>2299</v>
      </c>
    </row>
    <row r="16" customFormat="false" ht="15" hidden="false" customHeight="true" outlineLevel="0" collapsed="false">
      <c r="A16" s="17" t="n">
        <v>12</v>
      </c>
      <c r="B16" s="7" t="s">
        <v>2300</v>
      </c>
      <c r="C16" s="7" t="s">
        <v>2301</v>
      </c>
      <c r="D16" s="7" t="s">
        <v>2274</v>
      </c>
      <c r="E16" s="7" t="s">
        <v>2302</v>
      </c>
      <c r="F16" s="7" t="s">
        <v>2276</v>
      </c>
      <c r="G16" s="12" t="s">
        <v>2303</v>
      </c>
    </row>
    <row r="17" customFormat="false" ht="15" hidden="false" customHeight="true" outlineLevel="0" collapsed="false">
      <c r="A17" s="17" t="n">
        <v>13</v>
      </c>
      <c r="B17" s="7" t="s">
        <v>2278</v>
      </c>
      <c r="C17" s="7" t="s">
        <v>2304</v>
      </c>
      <c r="D17" s="7" t="s">
        <v>2274</v>
      </c>
      <c r="E17" s="7" t="s">
        <v>2280</v>
      </c>
      <c r="F17" s="7" t="s">
        <v>2276</v>
      </c>
      <c r="G17" s="12" t="s">
        <v>2305</v>
      </c>
    </row>
    <row r="18" customFormat="false" ht="15" hidden="false" customHeight="true" outlineLevel="0" collapsed="false">
      <c r="A18" s="17" t="n">
        <v>14</v>
      </c>
      <c r="B18" s="7" t="s">
        <v>2306</v>
      </c>
      <c r="C18" s="7" t="s">
        <v>2307</v>
      </c>
      <c r="D18" s="7" t="s">
        <v>2274</v>
      </c>
      <c r="E18" s="7" t="s">
        <v>2280</v>
      </c>
      <c r="F18" s="7" t="s">
        <v>2276</v>
      </c>
      <c r="G18" s="12" t="s">
        <v>2308</v>
      </c>
    </row>
    <row r="19" customFormat="false" ht="23.25" hidden="false" customHeight="true" outlineLevel="0" collapsed="false">
      <c r="A19" s="17" t="n">
        <v>15</v>
      </c>
      <c r="B19" s="7" t="s">
        <v>2309</v>
      </c>
      <c r="C19" s="7" t="s">
        <v>2310</v>
      </c>
      <c r="D19" s="7" t="s">
        <v>2263</v>
      </c>
      <c r="E19" s="7" t="s">
        <v>2311</v>
      </c>
      <c r="F19" s="7" t="s">
        <v>2312</v>
      </c>
      <c r="G19" s="12" t="s">
        <v>2313</v>
      </c>
    </row>
    <row r="20" customFormat="false" ht="23.25" hidden="false" customHeight="true" outlineLevel="0" collapsed="false">
      <c r="A20" s="17" t="n">
        <v>16</v>
      </c>
      <c r="B20" s="7" t="s">
        <v>2314</v>
      </c>
      <c r="C20" s="7" t="s">
        <v>2315</v>
      </c>
      <c r="D20" s="7" t="s">
        <v>2274</v>
      </c>
      <c r="E20" s="7" t="s">
        <v>2316</v>
      </c>
      <c r="F20" s="7" t="s">
        <v>2317</v>
      </c>
      <c r="G20" s="12" t="s">
        <v>2318</v>
      </c>
    </row>
    <row r="21" customFormat="false" ht="23.25" hidden="false" customHeight="true" outlineLevel="0" collapsed="false">
      <c r="A21" s="17" t="n">
        <v>17</v>
      </c>
      <c r="B21" s="7" t="s">
        <v>2319</v>
      </c>
      <c r="C21" s="7" t="s">
        <v>2320</v>
      </c>
      <c r="D21" s="7" t="s">
        <v>2274</v>
      </c>
      <c r="E21" s="7" t="s">
        <v>2321</v>
      </c>
      <c r="F21" s="7" t="s">
        <v>2317</v>
      </c>
      <c r="G21" s="12" t="s">
        <v>2322</v>
      </c>
    </row>
    <row r="22" customFormat="false" ht="23.25" hidden="false" customHeight="true" outlineLevel="0" collapsed="false">
      <c r="A22" s="17" t="n">
        <v>18</v>
      </c>
      <c r="B22" s="7" t="s">
        <v>135</v>
      </c>
      <c r="C22" s="7" t="s">
        <v>2323</v>
      </c>
      <c r="D22" s="7" t="s">
        <v>2274</v>
      </c>
      <c r="E22" s="7" t="s">
        <v>2324</v>
      </c>
      <c r="F22" s="7" t="s">
        <v>2325</v>
      </c>
      <c r="G22" s="12" t="s">
        <v>2326</v>
      </c>
    </row>
    <row r="23" customFormat="false" ht="23.25" hidden="false" customHeight="true" outlineLevel="0" collapsed="false">
      <c r="A23" s="17" t="n">
        <v>19</v>
      </c>
      <c r="B23" s="7" t="s">
        <v>2327</v>
      </c>
      <c r="C23" s="7" t="s">
        <v>2328</v>
      </c>
      <c r="D23" s="7" t="s">
        <v>2274</v>
      </c>
      <c r="E23" s="7" t="s">
        <v>2324</v>
      </c>
      <c r="F23" s="7" t="s">
        <v>2329</v>
      </c>
      <c r="G23" s="12" t="s">
        <v>2330</v>
      </c>
    </row>
    <row r="24" customFormat="false" ht="15" hidden="false" customHeight="true" outlineLevel="0" collapsed="false">
      <c r="A24" s="17" t="n">
        <v>20</v>
      </c>
      <c r="B24" s="7" t="s">
        <v>2331</v>
      </c>
      <c r="C24" s="7" t="s">
        <v>2332</v>
      </c>
      <c r="D24" s="7" t="s">
        <v>2274</v>
      </c>
      <c r="E24" s="7" t="s">
        <v>2333</v>
      </c>
      <c r="F24" s="7" t="s">
        <v>2317</v>
      </c>
      <c r="G24" s="12" t="s">
        <v>2334</v>
      </c>
    </row>
    <row r="25" customFormat="false" ht="15" hidden="false" customHeight="true" outlineLevel="0" collapsed="false">
      <c r="A25" s="17" t="n">
        <v>21</v>
      </c>
      <c r="B25" s="7" t="s">
        <v>2335</v>
      </c>
      <c r="C25" s="7" t="s">
        <v>2336</v>
      </c>
      <c r="D25" s="7" t="s">
        <v>2337</v>
      </c>
      <c r="E25" s="7" t="s">
        <v>2338</v>
      </c>
      <c r="F25" s="7" t="s">
        <v>2317</v>
      </c>
      <c r="G25" s="12" t="s">
        <v>2339</v>
      </c>
    </row>
    <row r="26" customFormat="false" ht="23.25" hidden="false" customHeight="true" outlineLevel="0" collapsed="false">
      <c r="A26" s="17" t="n">
        <v>22</v>
      </c>
      <c r="B26" s="7" t="s">
        <v>2340</v>
      </c>
      <c r="C26" s="7" t="s">
        <v>2341</v>
      </c>
      <c r="D26" s="7" t="s">
        <v>2274</v>
      </c>
      <c r="E26" s="7" t="s">
        <v>2342</v>
      </c>
      <c r="F26" s="7" t="s">
        <v>2317</v>
      </c>
      <c r="G26" s="12" t="s">
        <v>2343</v>
      </c>
    </row>
    <row r="27" customFormat="false" ht="15" hidden="false" customHeight="true" outlineLevel="0" collapsed="false">
      <c r="A27" s="17" t="n">
        <v>23</v>
      </c>
      <c r="B27" s="7" t="s">
        <v>2344</v>
      </c>
      <c r="C27" s="7" t="s">
        <v>216</v>
      </c>
      <c r="D27" s="7" t="s">
        <v>2345</v>
      </c>
      <c r="E27" s="7" t="s">
        <v>2338</v>
      </c>
      <c r="F27" s="7" t="s">
        <v>2317</v>
      </c>
      <c r="G27" s="12" t="s">
        <v>2346</v>
      </c>
    </row>
    <row r="28" customFormat="false" ht="23.25" hidden="false" customHeight="true" outlineLevel="0" collapsed="false">
      <c r="A28" s="17" t="n">
        <v>24</v>
      </c>
      <c r="B28" s="7" t="s">
        <v>2347</v>
      </c>
      <c r="C28" s="7" t="s">
        <v>2348</v>
      </c>
      <c r="D28" s="7" t="s">
        <v>2274</v>
      </c>
      <c r="E28" s="7" t="s">
        <v>2349</v>
      </c>
      <c r="F28" s="7" t="s">
        <v>2350</v>
      </c>
      <c r="G28" s="12" t="s">
        <v>2351</v>
      </c>
    </row>
    <row r="29" customFormat="false" ht="23.25" hidden="false" customHeight="true" outlineLevel="0" collapsed="false">
      <c r="A29" s="17" t="n">
        <v>25</v>
      </c>
      <c r="B29" s="7" t="s">
        <v>2352</v>
      </c>
      <c r="C29" s="7" t="s">
        <v>2353</v>
      </c>
      <c r="D29" s="7" t="s">
        <v>2274</v>
      </c>
      <c r="E29" s="7" t="s">
        <v>2324</v>
      </c>
      <c r="F29" s="7" t="s">
        <v>2354</v>
      </c>
      <c r="G29" s="12" t="s">
        <v>2355</v>
      </c>
    </row>
    <row r="30" customFormat="false" ht="23.25" hidden="false" customHeight="true" outlineLevel="0" collapsed="false">
      <c r="A30" s="17" t="n">
        <v>26</v>
      </c>
      <c r="B30" s="7" t="s">
        <v>2356</v>
      </c>
      <c r="C30" s="7" t="s">
        <v>2357</v>
      </c>
      <c r="D30" s="7" t="s">
        <v>2274</v>
      </c>
      <c r="E30" s="7" t="s">
        <v>2324</v>
      </c>
      <c r="F30" s="7" t="s">
        <v>2317</v>
      </c>
      <c r="G30" s="12" t="s">
        <v>2358</v>
      </c>
    </row>
    <row r="31" customFormat="false" ht="15" hidden="false" customHeight="true" outlineLevel="0" collapsed="false">
      <c r="A31" s="17" t="n">
        <v>27</v>
      </c>
      <c r="B31" s="7" t="s">
        <v>2359</v>
      </c>
      <c r="C31" s="7" t="s">
        <v>2360</v>
      </c>
      <c r="D31" s="7" t="s">
        <v>2274</v>
      </c>
      <c r="E31" s="7" t="s">
        <v>2361</v>
      </c>
      <c r="F31" s="7" t="s">
        <v>2362</v>
      </c>
      <c r="G31" s="12" t="s">
        <v>2363</v>
      </c>
    </row>
    <row r="32" customFormat="false" ht="23.25" hidden="false" customHeight="true" outlineLevel="0" collapsed="false">
      <c r="A32" s="17" t="n">
        <v>28</v>
      </c>
      <c r="B32" s="7" t="s">
        <v>2364</v>
      </c>
      <c r="C32" s="7" t="s">
        <v>918</v>
      </c>
      <c r="D32" s="7" t="s">
        <v>2274</v>
      </c>
      <c r="E32" s="7" t="s">
        <v>2365</v>
      </c>
      <c r="F32" s="7" t="s">
        <v>2366</v>
      </c>
      <c r="G32" s="12" t="s">
        <v>2367</v>
      </c>
    </row>
    <row r="33" customFormat="false" ht="15" hidden="false" customHeight="true" outlineLevel="0" collapsed="false">
      <c r="A33" s="17" t="n">
        <v>29</v>
      </c>
      <c r="B33" s="7" t="s">
        <v>2368</v>
      </c>
      <c r="C33" s="7" t="s">
        <v>2369</v>
      </c>
      <c r="D33" s="7" t="s">
        <v>2274</v>
      </c>
      <c r="E33" s="7" t="s">
        <v>2370</v>
      </c>
      <c r="F33" s="7" t="s">
        <v>2317</v>
      </c>
      <c r="G33" s="12" t="s">
        <v>2371</v>
      </c>
    </row>
    <row r="34" customFormat="false" ht="23.25" hidden="false" customHeight="true" outlineLevel="0" collapsed="false">
      <c r="A34" s="17" t="n">
        <v>30</v>
      </c>
      <c r="B34" s="7" t="s">
        <v>2372</v>
      </c>
      <c r="C34" s="7" t="s">
        <v>2373</v>
      </c>
      <c r="D34" s="7" t="s">
        <v>2374</v>
      </c>
      <c r="E34" s="7" t="s">
        <v>2375</v>
      </c>
      <c r="F34" s="7" t="s">
        <v>2376</v>
      </c>
      <c r="G34" s="12" t="s">
        <v>2377</v>
      </c>
    </row>
  </sheetData>
  <autoFilter ref="A4:G34"/>
  <hyperlinks>
    <hyperlink ref="G5" r:id="rId1" display="https://job-boards.eu.greenhouse.io/eggai/jobs/4772834101"/>
    <hyperlink ref="G6" r:id="rId2" display="https://job-boards.greenhouse.io/nuitee/jobs/4901595101"/>
    <hyperlink ref="G7" r:id="rId3" display="https://job-boards.greenhouse.io/arizeai/jobs/5793354004"/>
    <hyperlink ref="G8" r:id="rId4" display="https://jobs.ashbyhq.com/hipeople-official/6c330d7b-7c6d-4993-8893-b58b5289d442/application"/>
    <hyperlink ref="G9" r:id="rId5" display="https://jobs.ashbyhq.com/g2i/e2b998c8-7b32-4964-997c-93f1422ddff3/application"/>
    <hyperlink ref="G10" r:id="rId6" display="https://jobs.ashbyhq.com/g2i/eef73fe6-fe5f-4949-a0f7-a21853eb4179/application"/>
    <hyperlink ref="G11" r:id="rId7" display="https://job-boards.greenhouse.io/arizeai/jobs/5989510004"/>
    <hyperlink ref="G12" r:id="rId8" display="https://jobs.ashbyhq.com/openhands/57564a95-13b6-47b1-b601-dd2353484e47/application"/>
    <hyperlink ref="G13" r:id="rId9" display="https://jobs.ashbyhq.com/camunda/42b8007d-8299-4793-9581-2b3868ba0754/application"/>
    <hyperlink ref="G14" r:id="rId10" display="https://jobs.ashbyhq.com/viktor/c750869a-1859-4339-bfc9-161a9ee2dc9f/application"/>
    <hyperlink ref="G15" r:id="rId11" display="https://jobs.ashbyhq.com/tem/9f448576-a9aa-4c38-b6eb-745b4cc1fc35/application"/>
    <hyperlink ref="G16" r:id="rId12" display="https://jobs.ashbyhq.com/oh/bcb79f15-907c-48bd-b78e-fcbbd2160a3e/application"/>
    <hyperlink ref="G17" r:id="rId13" display="https://jobs.ashbyhq.com/g2i/86297d95-58ff-4d8b-90d9-98aff576c178/application"/>
    <hyperlink ref="G18" r:id="rId14" display="https://jobs.ashbyhq.com/duvo/a1e5cdbc-6159-4895-8dae-cf71196550fa/application"/>
    <hyperlink ref="G19" r:id="rId15" display="https://job-boards.greenhouse.io/sourcegraph91/jobs/6113147004"/>
    <hyperlink ref="G20" r:id="rId16" display="https://jobs.ashbyhq.com/reedsy/b043b550-02b7-416f-8969-5db8fd9dc8ee/application"/>
    <hyperlink ref="G21" r:id="rId17" display="https://jobs.ashbyhq.com/cohere/2d256112-b336-4539-8133-a0bf7f6698f0/application"/>
    <hyperlink ref="G22" r:id="rId18" display="https://jobs.ashbyhq.com/n8n/6a370ff8-e069-48ed-bffa-5716a3dbd9d5/application"/>
    <hyperlink ref="G23" r:id="rId19" display="https://jobs.ashbyhq.com/goldsky/790751f0-225b-4c88-ad17-58848a757e13/application"/>
    <hyperlink ref="G24" r:id="rId20" display="https://jobs.ashbyhq.com/elevenlabs/6c4c57c1-ec72-42ba-af3a-eb7aebbde2e6/application"/>
    <hyperlink ref="G25" r:id="rId21" display="https://jobs.lever.co/musixmatch/65971c0d-8220-47eb-a993-9705dc814c92/apply"/>
    <hyperlink ref="G26" r:id="rId22" display="https://jobs.ashbyhq.com/myedspacecareers/e3519a68-d9b4-43c7-9cfe-855163c284b2/application"/>
    <hyperlink ref="G27" r:id="rId23" display="https://jobs.eu.lever.co/eneba/df5397c1-489f-4eb9-a771-3d64eb42c86e/apply"/>
    <hyperlink ref="G28" r:id="rId24" display="https://jobs.ashbyhq.com/supabase/23c9ce7e-6b7b-4316-8f00-8f318e902441/application"/>
    <hyperlink ref="G29" r:id="rId25" display="https://jobs.ashbyhq.com/reflow/60f53162-d4d6-493f-a86b-2a4151816497/application"/>
    <hyperlink ref="G30" r:id="rId26" display="https://jobs.ashbyhq.com/codex/3839fbad-7966-4c19-ad0f-138d8fa47062/application"/>
    <hyperlink ref="G31" r:id="rId27" display="https://jobs.ashbyhq.com/checkly/39dceb59-01f6-43c9-9629-1055efd9697f/application"/>
    <hyperlink ref="G32" r:id="rId28" display="https://jobs.ashbyhq.com/jimdo.com/7059268a-22f2-4a68-9bd8-e376c67a3b7b/application"/>
    <hyperlink ref="G33" r:id="rId29" display="https://jobs.ashbyhq.com/taxfix.com/40703426-e9e5-4df0-9a6b-cea5526a5b05/application"/>
    <hyperlink ref="G34" r:id="rId30" display="https://job-boards.greenhouse.io/embed/job_app?for=make&amp;token=7778897003"/>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52"/>
    <col collapsed="false" customWidth="true" hidden="false" outlineLevel="0" max="3" min="3" style="1" width="24"/>
    <col collapsed="false" customWidth="true" hidden="false" outlineLevel="0" max="4" min="4" style="1" width="26"/>
    <col collapsed="false" customWidth="true" hidden="false" outlineLevel="0" max="5" min="5" style="1" width="104"/>
    <col collapsed="false" customWidth="true" hidden="false" outlineLevel="0" max="6" min="6" style="1" width="56"/>
  </cols>
  <sheetData>
    <row r="1" customFormat="false" ht="18" hidden="false" customHeight="true" outlineLevel="0" collapsed="false">
      <c r="A1" s="2" t="s">
        <v>2378</v>
      </c>
    </row>
    <row r="2" customFormat="false" ht="15" hidden="false" customHeight="true" outlineLevel="0" collapsed="false">
      <c r="A2" s="3" t="s">
        <v>2379</v>
      </c>
    </row>
    <row r="4" customFormat="false" ht="30" hidden="false" customHeight="true" outlineLevel="0" collapsed="false">
      <c r="A4" s="4" t="s">
        <v>46</v>
      </c>
      <c r="B4" s="4" t="s">
        <v>45</v>
      </c>
      <c r="C4" s="4" t="s">
        <v>2380</v>
      </c>
      <c r="D4" s="4" t="s">
        <v>51</v>
      </c>
      <c r="E4" s="4" t="s">
        <v>2381</v>
      </c>
      <c r="F4" s="4" t="s">
        <v>2260</v>
      </c>
    </row>
    <row r="5" customFormat="false" ht="34.5" hidden="false" customHeight="true" outlineLevel="0" collapsed="false">
      <c r="A5" s="5" t="s">
        <v>2382</v>
      </c>
      <c r="B5" s="7" t="s">
        <v>335</v>
      </c>
      <c r="C5" s="11" t="s">
        <v>2383</v>
      </c>
      <c r="D5" s="7" t="s">
        <v>2384</v>
      </c>
      <c r="E5" s="7" t="s">
        <v>2385</v>
      </c>
      <c r="F5" s="12" t="s">
        <v>2386</v>
      </c>
    </row>
    <row r="6" customFormat="false" ht="15" hidden="false" customHeight="true" outlineLevel="0" collapsed="false">
      <c r="A6" s="5" t="s">
        <v>1053</v>
      </c>
      <c r="B6" s="7" t="s">
        <v>1052</v>
      </c>
      <c r="C6" s="11" t="s">
        <v>2383</v>
      </c>
      <c r="D6" s="7" t="s">
        <v>2387</v>
      </c>
      <c r="E6" s="7" t="s">
        <v>2388</v>
      </c>
      <c r="F6" s="12" t="s">
        <v>1054</v>
      </c>
    </row>
    <row r="7" customFormat="false" ht="23.25" hidden="false" customHeight="true" outlineLevel="0" collapsed="false">
      <c r="A7" s="5" t="s">
        <v>525</v>
      </c>
      <c r="B7" s="7" t="s">
        <v>524</v>
      </c>
      <c r="C7" s="11" t="s">
        <v>2383</v>
      </c>
      <c r="D7" s="7" t="s">
        <v>2387</v>
      </c>
      <c r="E7" s="7" t="s">
        <v>2389</v>
      </c>
      <c r="F7" s="12" t="s">
        <v>526</v>
      </c>
    </row>
    <row r="8" customFormat="false" ht="34.5" hidden="false" customHeight="true" outlineLevel="0" collapsed="false">
      <c r="A8" s="5" t="s">
        <v>2390</v>
      </c>
      <c r="B8" s="7" t="s">
        <v>2391</v>
      </c>
      <c r="C8" s="11" t="s">
        <v>2383</v>
      </c>
      <c r="D8" s="7" t="s">
        <v>2392</v>
      </c>
      <c r="E8" s="7" t="s">
        <v>2393</v>
      </c>
      <c r="F8" s="12" t="s">
        <v>2394</v>
      </c>
    </row>
    <row r="9" customFormat="false" ht="34.5" hidden="false" customHeight="true" outlineLevel="0" collapsed="false">
      <c r="A9" s="5" t="s">
        <v>2395</v>
      </c>
      <c r="B9" s="7" t="s">
        <v>2396</v>
      </c>
      <c r="C9" s="11" t="s">
        <v>2383</v>
      </c>
      <c r="D9" s="7" t="s">
        <v>2397</v>
      </c>
      <c r="E9" s="7" t="s">
        <v>2398</v>
      </c>
      <c r="F9" s="12" t="s">
        <v>2399</v>
      </c>
    </row>
    <row r="10" customFormat="false" ht="23.25" hidden="false" customHeight="true" outlineLevel="0" collapsed="false">
      <c r="A10" s="5" t="s">
        <v>2400</v>
      </c>
      <c r="B10" s="7" t="s">
        <v>2401</v>
      </c>
      <c r="C10" s="11" t="s">
        <v>2383</v>
      </c>
      <c r="D10" s="7" t="s">
        <v>2402</v>
      </c>
      <c r="E10" s="7" t="s">
        <v>2403</v>
      </c>
      <c r="F10" s="12" t="s">
        <v>2404</v>
      </c>
    </row>
    <row r="11" customFormat="false" ht="23.25" hidden="false" customHeight="true" outlineLevel="0" collapsed="false">
      <c r="A11" s="5" t="s">
        <v>671</v>
      </c>
      <c r="B11" s="7" t="s">
        <v>670</v>
      </c>
      <c r="C11" s="11" t="s">
        <v>2383</v>
      </c>
      <c r="D11" s="7" t="s">
        <v>2387</v>
      </c>
      <c r="E11" s="7" t="s">
        <v>2405</v>
      </c>
      <c r="F11" s="12" t="s">
        <v>676</v>
      </c>
    </row>
    <row r="12" customFormat="false" ht="23.25" hidden="false" customHeight="true" outlineLevel="0" collapsed="false">
      <c r="A12" s="5" t="s">
        <v>2406</v>
      </c>
      <c r="B12" s="7" t="s">
        <v>2407</v>
      </c>
      <c r="C12" s="11" t="s">
        <v>2383</v>
      </c>
      <c r="D12" s="7" t="s">
        <v>2276</v>
      </c>
      <c r="E12" s="7" t="s">
        <v>2408</v>
      </c>
      <c r="F12" s="12" t="s">
        <v>2409</v>
      </c>
    </row>
    <row r="13" customFormat="false" ht="34.5" hidden="false" customHeight="true" outlineLevel="0" collapsed="false">
      <c r="A13" s="5" t="s">
        <v>2410</v>
      </c>
      <c r="B13" s="7" t="s">
        <v>2411</v>
      </c>
      <c r="C13" s="11" t="s">
        <v>2383</v>
      </c>
      <c r="D13" s="7" t="s">
        <v>2412</v>
      </c>
      <c r="E13" s="7" t="s">
        <v>2413</v>
      </c>
      <c r="F13" s="12" t="s">
        <v>2414</v>
      </c>
    </row>
    <row r="14" customFormat="false" ht="34.5" hidden="false" customHeight="true" outlineLevel="0" collapsed="false">
      <c r="A14" s="5" t="s">
        <v>2074</v>
      </c>
      <c r="B14" s="7" t="s">
        <v>427</v>
      </c>
      <c r="C14" s="11" t="s">
        <v>2383</v>
      </c>
      <c r="D14" s="7" t="s">
        <v>2415</v>
      </c>
      <c r="E14" s="7" t="s">
        <v>2416</v>
      </c>
      <c r="F14" s="12" t="s">
        <v>2082</v>
      </c>
    </row>
    <row r="15" customFormat="false" ht="34.5" hidden="false" customHeight="true" outlineLevel="0" collapsed="false">
      <c r="A15" s="5" t="s">
        <v>2417</v>
      </c>
      <c r="B15" s="7" t="s">
        <v>2418</v>
      </c>
      <c r="C15" s="11" t="s">
        <v>2383</v>
      </c>
      <c r="D15" s="7" t="s">
        <v>2387</v>
      </c>
      <c r="E15" s="7" t="s">
        <v>2419</v>
      </c>
      <c r="F15" s="12" t="s">
        <v>2420</v>
      </c>
    </row>
    <row r="16" customFormat="false" ht="23.25" hidden="false" customHeight="true" outlineLevel="0" collapsed="false">
      <c r="A16" s="5" t="s">
        <v>2421</v>
      </c>
      <c r="B16" s="7" t="s">
        <v>2407</v>
      </c>
      <c r="C16" s="11" t="s">
        <v>2383</v>
      </c>
      <c r="D16" s="7" t="s">
        <v>2276</v>
      </c>
      <c r="E16" s="7" t="s">
        <v>2408</v>
      </c>
      <c r="F16" s="12" t="s">
        <v>2409</v>
      </c>
    </row>
    <row r="17" customFormat="false" ht="34.5" hidden="false" customHeight="true" outlineLevel="0" collapsed="false">
      <c r="A17" s="5" t="s">
        <v>2422</v>
      </c>
      <c r="B17" s="7" t="s">
        <v>2423</v>
      </c>
      <c r="C17" s="11" t="s">
        <v>2383</v>
      </c>
      <c r="D17" s="7" t="s">
        <v>2424</v>
      </c>
      <c r="E17" s="7" t="s">
        <v>2425</v>
      </c>
      <c r="F17" s="12" t="s">
        <v>2426</v>
      </c>
    </row>
    <row r="18" customFormat="false" ht="45.75" hidden="false" customHeight="true" outlineLevel="0" collapsed="false">
      <c r="A18" s="5" t="s">
        <v>2427</v>
      </c>
      <c r="B18" s="7" t="s">
        <v>2428</v>
      </c>
      <c r="C18" s="11" t="s">
        <v>2383</v>
      </c>
      <c r="D18" s="7" t="s">
        <v>2429</v>
      </c>
      <c r="E18" s="7" t="s">
        <v>2430</v>
      </c>
      <c r="F18" s="12" t="s">
        <v>2431</v>
      </c>
    </row>
    <row r="19" customFormat="false" ht="34.5" hidden="false" customHeight="true" outlineLevel="0" collapsed="false">
      <c r="A19" s="5" t="s">
        <v>126</v>
      </c>
      <c r="B19" s="7" t="s">
        <v>125</v>
      </c>
      <c r="C19" s="11" t="s">
        <v>2432</v>
      </c>
      <c r="D19" s="7" t="s">
        <v>63</v>
      </c>
      <c r="E19" s="7" t="s">
        <v>2433</v>
      </c>
      <c r="F19" s="12" t="s">
        <v>132</v>
      </c>
    </row>
    <row r="20" customFormat="false" ht="34.5" hidden="false" customHeight="true" outlineLevel="0" collapsed="false">
      <c r="A20" s="5" t="s">
        <v>789</v>
      </c>
      <c r="B20" s="7" t="s">
        <v>125</v>
      </c>
      <c r="C20" s="11" t="s">
        <v>2432</v>
      </c>
      <c r="D20" s="7" t="s">
        <v>63</v>
      </c>
      <c r="E20" s="7" t="s">
        <v>2434</v>
      </c>
      <c r="F20" s="12" t="s">
        <v>794</v>
      </c>
    </row>
    <row r="21" customFormat="false" ht="23.25" hidden="false" customHeight="true" outlineLevel="0" collapsed="false">
      <c r="A21" s="5" t="s">
        <v>2435</v>
      </c>
      <c r="B21" s="7" t="s">
        <v>2436</v>
      </c>
      <c r="C21" s="11" t="s">
        <v>2432</v>
      </c>
      <c r="D21" s="7" t="s">
        <v>2387</v>
      </c>
      <c r="E21" s="7" t="s">
        <v>2437</v>
      </c>
      <c r="F21" s="12" t="s">
        <v>2438</v>
      </c>
    </row>
    <row r="22" customFormat="false" ht="23.25" hidden="false" customHeight="true" outlineLevel="0" collapsed="false">
      <c r="A22" s="5" t="s">
        <v>2439</v>
      </c>
      <c r="B22" s="7" t="s">
        <v>2440</v>
      </c>
      <c r="C22" s="11" t="s">
        <v>2432</v>
      </c>
      <c r="D22" s="7" t="s">
        <v>2441</v>
      </c>
      <c r="E22" s="7" t="s">
        <v>2442</v>
      </c>
      <c r="F22" s="12" t="s">
        <v>2443</v>
      </c>
    </row>
    <row r="23" customFormat="false" ht="23.25" hidden="false" customHeight="true" outlineLevel="0" collapsed="false">
      <c r="A23" s="5" t="s">
        <v>1340</v>
      </c>
      <c r="B23" s="7" t="s">
        <v>1339</v>
      </c>
      <c r="C23" s="11" t="s">
        <v>2432</v>
      </c>
      <c r="D23" s="7" t="s">
        <v>63</v>
      </c>
      <c r="E23" s="7" t="s">
        <v>2444</v>
      </c>
      <c r="F23" s="12" t="s">
        <v>1344</v>
      </c>
    </row>
    <row r="24" customFormat="false" ht="34.5" hidden="false" customHeight="true" outlineLevel="0" collapsed="false">
      <c r="A24" s="5" t="s">
        <v>2445</v>
      </c>
      <c r="B24" s="7" t="s">
        <v>427</v>
      </c>
      <c r="C24" s="11" t="s">
        <v>2432</v>
      </c>
      <c r="D24" s="7" t="s">
        <v>2387</v>
      </c>
      <c r="E24" s="7" t="s">
        <v>2446</v>
      </c>
      <c r="F24" s="12" t="s">
        <v>2447</v>
      </c>
    </row>
    <row r="25" customFormat="false" ht="23.25" hidden="false" customHeight="true" outlineLevel="0" collapsed="false">
      <c r="A25" s="5" t="s">
        <v>2448</v>
      </c>
      <c r="B25" s="7" t="s">
        <v>2449</v>
      </c>
      <c r="C25" s="11" t="s">
        <v>2450</v>
      </c>
      <c r="D25" s="7" t="s">
        <v>2387</v>
      </c>
      <c r="E25" s="7" t="s">
        <v>2451</v>
      </c>
      <c r="F25" s="12" t="s">
        <v>2452</v>
      </c>
    </row>
    <row r="26" customFormat="false" ht="23.25" hidden="false" customHeight="true" outlineLevel="0" collapsed="false">
      <c r="A26" s="5" t="s">
        <v>2453</v>
      </c>
      <c r="B26" s="7" t="s">
        <v>2454</v>
      </c>
      <c r="C26" s="11" t="s">
        <v>2450</v>
      </c>
      <c r="D26" s="7" t="s">
        <v>2455</v>
      </c>
      <c r="E26" s="7" t="s">
        <v>2456</v>
      </c>
      <c r="F26" s="12" t="s">
        <v>2457</v>
      </c>
    </row>
    <row r="27" customFormat="false" ht="23.25" hidden="false" customHeight="true" outlineLevel="0" collapsed="false">
      <c r="A27" s="5" t="s">
        <v>2458</v>
      </c>
      <c r="B27" s="7" t="s">
        <v>2459</v>
      </c>
      <c r="C27" s="11" t="s">
        <v>2450</v>
      </c>
      <c r="D27" s="7" t="s">
        <v>2460</v>
      </c>
      <c r="E27" s="7" t="s">
        <v>2461</v>
      </c>
      <c r="F27" s="12" t="s">
        <v>2462</v>
      </c>
    </row>
    <row r="28" customFormat="false" ht="23.25" hidden="false" customHeight="true" outlineLevel="0" collapsed="false">
      <c r="A28" s="5" t="s">
        <v>2463</v>
      </c>
      <c r="B28" s="7" t="s">
        <v>2464</v>
      </c>
      <c r="C28" s="11" t="s">
        <v>2465</v>
      </c>
      <c r="D28" s="7" t="s">
        <v>2276</v>
      </c>
      <c r="E28" s="7" t="s">
        <v>2466</v>
      </c>
      <c r="F28" s="12" t="s">
        <v>2467</v>
      </c>
    </row>
    <row r="29" customFormat="false" ht="23.25" hidden="false" customHeight="true" outlineLevel="0" collapsed="false">
      <c r="A29" s="5" t="s">
        <v>2468</v>
      </c>
      <c r="B29" s="7" t="s">
        <v>1070</v>
      </c>
      <c r="C29" s="14" t="s">
        <v>2469</v>
      </c>
      <c r="D29" s="7" t="s">
        <v>2387</v>
      </c>
      <c r="E29" s="7" t="s">
        <v>2470</v>
      </c>
      <c r="F29" s="12" t="s">
        <v>2471</v>
      </c>
    </row>
    <row r="30" customFormat="false" ht="23.25" hidden="false" customHeight="true" outlineLevel="0" collapsed="false">
      <c r="A30" s="5" t="s">
        <v>2472</v>
      </c>
      <c r="B30" s="7" t="s">
        <v>2473</v>
      </c>
      <c r="C30" s="14" t="s">
        <v>2469</v>
      </c>
      <c r="D30" s="7" t="s">
        <v>2474</v>
      </c>
      <c r="E30" s="7" t="s">
        <v>2475</v>
      </c>
      <c r="F30" s="12" t="s">
        <v>2476</v>
      </c>
    </row>
    <row r="31" customFormat="false" ht="23.25" hidden="false" customHeight="true" outlineLevel="0" collapsed="false">
      <c r="A31" s="5" t="s">
        <v>2477</v>
      </c>
      <c r="B31" s="7" t="s">
        <v>2478</v>
      </c>
      <c r="C31" s="14" t="s">
        <v>2479</v>
      </c>
      <c r="D31" s="7" t="s">
        <v>2387</v>
      </c>
      <c r="E31" s="7" t="s">
        <v>2480</v>
      </c>
      <c r="F31" s="12" t="s">
        <v>2481</v>
      </c>
    </row>
    <row r="32" customFormat="false" ht="23.25" hidden="false" customHeight="true" outlineLevel="0" collapsed="false">
      <c r="A32" s="5" t="s">
        <v>1755</v>
      </c>
      <c r="B32" s="7" t="s">
        <v>1754</v>
      </c>
      <c r="C32" s="14" t="s">
        <v>2482</v>
      </c>
      <c r="D32" s="7" t="s">
        <v>63</v>
      </c>
      <c r="E32" s="7" t="s">
        <v>2483</v>
      </c>
      <c r="F32" s="12" t="s">
        <v>1760</v>
      </c>
    </row>
    <row r="33" customFormat="false" ht="23.25" hidden="false" customHeight="true" outlineLevel="0" collapsed="false">
      <c r="A33" s="5" t="s">
        <v>887</v>
      </c>
      <c r="B33" s="7" t="s">
        <v>427</v>
      </c>
      <c r="C33" s="14" t="s">
        <v>2482</v>
      </c>
      <c r="D33" s="7" t="s">
        <v>2484</v>
      </c>
      <c r="E33" s="7" t="s">
        <v>2485</v>
      </c>
      <c r="F33" s="12" t="s">
        <v>892</v>
      </c>
    </row>
    <row r="34" customFormat="false" ht="34.5" hidden="false" customHeight="true" outlineLevel="0" collapsed="false">
      <c r="A34" s="5" t="s">
        <v>2309</v>
      </c>
      <c r="B34" s="7" t="s">
        <v>2486</v>
      </c>
      <c r="C34" s="14" t="s">
        <v>2487</v>
      </c>
      <c r="D34" s="7" t="s">
        <v>63</v>
      </c>
      <c r="E34" s="7" t="s">
        <v>2488</v>
      </c>
      <c r="F34" s="12" t="s">
        <v>2313</v>
      </c>
    </row>
    <row r="35" customFormat="false" ht="23.25" hidden="false" customHeight="true" outlineLevel="0" collapsed="false">
      <c r="A35" s="5" t="s">
        <v>1630</v>
      </c>
      <c r="B35" s="7" t="s">
        <v>1629</v>
      </c>
      <c r="C35" s="16" t="s">
        <v>2489</v>
      </c>
      <c r="D35" s="7" t="s">
        <v>63</v>
      </c>
      <c r="E35" s="7" t="s">
        <v>2490</v>
      </c>
      <c r="F35" s="12" t="s">
        <v>1635</v>
      </c>
    </row>
    <row r="36" customFormat="false" ht="15" hidden="false" customHeight="true" outlineLevel="0" collapsed="false">
      <c r="A36" s="5" t="s">
        <v>2491</v>
      </c>
      <c r="B36" s="7" t="s">
        <v>335</v>
      </c>
      <c r="C36" s="16" t="s">
        <v>2492</v>
      </c>
      <c r="D36" s="7" t="s">
        <v>63</v>
      </c>
      <c r="E36" s="7" t="s">
        <v>2493</v>
      </c>
      <c r="F36" s="12" t="s">
        <v>2494</v>
      </c>
    </row>
    <row r="37" customFormat="false" ht="23.25" hidden="false" customHeight="true" outlineLevel="0" collapsed="false">
      <c r="A37" s="5" t="s">
        <v>2495</v>
      </c>
      <c r="B37" s="7" t="s">
        <v>427</v>
      </c>
      <c r="C37" s="16" t="s">
        <v>2496</v>
      </c>
      <c r="D37" s="7" t="s">
        <v>63</v>
      </c>
      <c r="E37" s="7" t="s">
        <v>2497</v>
      </c>
      <c r="F37" s="12" t="s">
        <v>2498</v>
      </c>
    </row>
    <row r="38" customFormat="false" ht="23.25" hidden="false" customHeight="true" outlineLevel="0" collapsed="false">
      <c r="A38" s="5" t="s">
        <v>2499</v>
      </c>
      <c r="B38" s="7" t="s">
        <v>2500</v>
      </c>
      <c r="C38" s="16" t="s">
        <v>2492</v>
      </c>
      <c r="D38" s="7" t="s">
        <v>63</v>
      </c>
      <c r="E38" s="7" t="s">
        <v>2501</v>
      </c>
      <c r="F38" s="12" t="s">
        <v>2502</v>
      </c>
    </row>
    <row r="39" customFormat="false" ht="15" hidden="false" customHeight="true" outlineLevel="0" collapsed="false">
      <c r="A39" s="5" t="s">
        <v>1845</v>
      </c>
      <c r="B39" s="7" t="s">
        <v>1844</v>
      </c>
      <c r="C39" s="16" t="s">
        <v>2503</v>
      </c>
      <c r="D39" s="7" t="s">
        <v>2504</v>
      </c>
      <c r="E39" s="7" t="s">
        <v>2505</v>
      </c>
      <c r="F39" s="12" t="s">
        <v>1851</v>
      </c>
    </row>
    <row r="40" customFormat="false" ht="23.25" hidden="false" customHeight="true" outlineLevel="0" collapsed="false">
      <c r="A40" s="5" t="s">
        <v>2506</v>
      </c>
      <c r="B40" s="7" t="s">
        <v>1539</v>
      </c>
      <c r="C40" s="16" t="s">
        <v>2507</v>
      </c>
      <c r="D40" s="7" t="s">
        <v>63</v>
      </c>
      <c r="E40" s="7" t="s">
        <v>2508</v>
      </c>
      <c r="F40" s="12" t="s">
        <v>2509</v>
      </c>
    </row>
    <row r="41" customFormat="false" ht="23.25" hidden="false" customHeight="true" outlineLevel="0" collapsed="false">
      <c r="A41" s="5" t="s">
        <v>1830</v>
      </c>
      <c r="B41" s="7" t="s">
        <v>417</v>
      </c>
      <c r="C41" s="16" t="s">
        <v>2510</v>
      </c>
      <c r="D41" s="7" t="s">
        <v>63</v>
      </c>
      <c r="E41" s="7" t="s">
        <v>2511</v>
      </c>
      <c r="F41" s="12" t="s">
        <v>1835</v>
      </c>
    </row>
    <row r="42" customFormat="false" ht="23.25" hidden="false" customHeight="true" outlineLevel="0" collapsed="false">
      <c r="A42" s="5" t="s">
        <v>2512</v>
      </c>
      <c r="B42" s="7" t="s">
        <v>2513</v>
      </c>
      <c r="C42" s="16" t="s">
        <v>2514</v>
      </c>
      <c r="D42" s="7" t="s">
        <v>2515</v>
      </c>
      <c r="E42" s="7" t="s">
        <v>2516</v>
      </c>
      <c r="F42" s="12" t="s">
        <v>2517</v>
      </c>
    </row>
    <row r="43" customFormat="false" ht="23.25" hidden="false" customHeight="true" outlineLevel="0" collapsed="false">
      <c r="A43" s="5" t="s">
        <v>2518</v>
      </c>
      <c r="B43" s="7" t="s">
        <v>2519</v>
      </c>
      <c r="C43" s="16" t="s">
        <v>2520</v>
      </c>
      <c r="D43" s="7" t="s">
        <v>63</v>
      </c>
      <c r="E43" s="7" t="s">
        <v>2521</v>
      </c>
      <c r="F43" s="12" t="s">
        <v>2522</v>
      </c>
    </row>
    <row r="44" customFormat="false" ht="15" hidden="false" customHeight="true" outlineLevel="0" collapsed="false">
      <c r="A44" s="5" t="s">
        <v>2523</v>
      </c>
      <c r="B44" s="7" t="s">
        <v>2524</v>
      </c>
      <c r="C44" s="16" t="s">
        <v>2525</v>
      </c>
      <c r="D44" s="7" t="s">
        <v>2526</v>
      </c>
      <c r="E44" s="7" t="s">
        <v>2527</v>
      </c>
      <c r="F44" s="12" t="s">
        <v>2528</v>
      </c>
    </row>
    <row r="45" customFormat="false" ht="23.25" hidden="false" customHeight="true" outlineLevel="0" collapsed="false">
      <c r="A45" s="5" t="s">
        <v>2529</v>
      </c>
      <c r="B45" s="7" t="s">
        <v>2530</v>
      </c>
      <c r="C45" s="16" t="s">
        <v>2531</v>
      </c>
      <c r="D45" s="7" t="s">
        <v>2532</v>
      </c>
      <c r="E45" s="7" t="s">
        <v>2533</v>
      </c>
      <c r="F45" s="12" t="s">
        <v>2534</v>
      </c>
    </row>
  </sheetData>
  <autoFilter ref="A4:F45"/>
  <hyperlinks>
    <hyperlink ref="F5" r:id="rId1" display="https://euremotejobs.com/job/arkipel-remote-within-the-1-1-cet-time-zone-range-full-time-product-engineer-at-join/"/>
    <hyperlink ref="F6" r:id="rId2" display="https://join.com/companies/getaveryai/16375814-founding-engineer-core"/>
    <hyperlink ref="F7" r:id="rId3" display="https://join.com/companies/gtmbaseio/16345856-forward-deployed-crm-architect"/>
    <hyperlink ref="F8" r:id="rId4" display="https://join.com/companies/meetjamieai/16383408-ai-engineer-top-5-salary-band-in-europe"/>
    <hyperlink ref="F9" r:id="rId5" display="https://join.com/companies/kfs1/16523505-junior-full-stack-developer-typescript-react-supabase-postgres"/>
    <hyperlink ref="F10" r:id="rId6" display="https://join.com/companies/laioutr/16494968-ai-engineer-m-f-d-full-stack-typescript-nuxt-next-vue-react"/>
    <hyperlink ref="F11" r:id="rId7" display="https://join.com/companies/oryn-groupcom/16512536-gtm-engineer-founding-partner-m-f-x"/>
    <hyperlink ref="F12" r:id="rId8" display="https://join.com/companies"/>
    <hyperlink ref="F13" r:id="rId9" display="https://join.com/companies/revos/15825399-ai-native-senior-full-stack-engineer"/>
    <hyperlink ref="F14" r:id="rId10" display="https://join.com/companies/shippypro953/16512307-gtm-engineer"/>
    <hyperlink ref="F15" r:id="rId11" display="https://join.com/companies/cargovibede/16370194-founding-engineer-all-genders"/>
    <hyperlink ref="F16" r:id="rId12" display="https://join.com/companies"/>
    <hyperlink ref="F17" r:id="rId13" display="https://join.com/companies/peopleix/16471347-full-stack-engineer-workflow-automation-platform-m-f-d"/>
    <hyperlink ref="F18" r:id="rId14" display="https://join.com/companies/saleshax/16342286-full-stack-ai-developer-engineer-m-w-d"/>
    <hyperlink ref="F19" r:id="rId15" display="https://apply.workable.com/digitalgenius/j/E03A435AC1"/>
    <hyperlink ref="F20" r:id="rId16" display="https://apply.workable.com/laravel/j/E2EEEA7303"/>
    <hyperlink ref="F21" r:id="rId17" display="https://apply.workable.com/toloka-ai/j/F5013CA4FC/apply/"/>
    <hyperlink ref="F22" r:id="rId18" display="https://apply.workable.com/moneyfarm/j/DD702C60CF/"/>
    <hyperlink ref="F23" r:id="rId19" display="https://apply.workable.com/remofirst/j/CB946C18D3"/>
    <hyperlink ref="F24" r:id="rId20" display="https://apply.workable.com/salescaptain/j/5D318B62CB/"/>
    <hyperlink ref="F25" r:id="rId21" display="https://it.indeed.com/viewjob?jk=75f472b960751e88"/>
    <hyperlink ref="F26" r:id="rId22" display="https://it.indeed.com/viewjob?jk=ca2f94a1378e690d"/>
    <hyperlink ref="F27" r:id="rId23" display="https://it.indeed.com/viewjob?jk=09dad482b024076d"/>
    <hyperlink ref="F28" r:id="rId24" display="https://jobs.smartrecruiters.com/Docplanner"/>
    <hyperlink ref="F29" r:id="rId25" display="https://job-boards.eu.greenhouse.io/gensyn/jobs/4660248101"/>
    <hyperlink ref="F30" r:id="rId26" display="https://jobs.ashbyhq.com/kairos-project/d0aeae33-8eae-4d58-ac30-369a87dd90c7/application"/>
    <hyperlink ref="F31" r:id="rId27" display="https://job-boards.greenhouse.io/fueledcareers/jobs/4038230008"/>
    <hyperlink ref="F32" r:id="rId28" display="https://holtzbrinck-careers.softgarden.io/job/62651254/"/>
    <hyperlink ref="F33" r:id="rId29" display="https://himalayas.app/companies/paires/jobs/gtm-engineer"/>
    <hyperlink ref="F34" r:id="rId30" display="https://job-boards.greenhouse.io/sourcegraph91/jobs/6113147004"/>
    <hyperlink ref="F35" r:id="rId31" display="https://job-boards.greenhouse.io/alertmedia/jobs/8656401002"/>
    <hyperlink ref="F36" r:id="rId32" display="https://jobs.ashbyhq.com/attio"/>
    <hyperlink ref="F37" r:id="rId33" display="https://jobs.ashbyhq.com/ben"/>
    <hyperlink ref="F38" r:id="rId34" display="https://cresta.com/careers"/>
    <hyperlink ref="F39" r:id="rId35" display="https://job-boards.greenhouse.io/customerio/jobs/8089365"/>
    <hyperlink ref="F40" r:id="rId36" display="https://jobs.ashbyhq.com/lovable/7fe39289-1f7f-47d4-8002-d3aeeaaaabc6/application"/>
    <hyperlink ref="F41" r:id="rId37" display="https://builtin.com/job/software-engineer-cloud-backend/6802123"/>
    <hyperlink ref="F42" r:id="rId38" display="https://it.indeed.com/viewjob?jk=ec83a38a6467bd5d"/>
    <hyperlink ref="F43" r:id="rId39" display="https://jobs.ashbyhq.com/satispay/45744663-4768-48d1-81c9-218eb54a2027/application"/>
    <hyperlink ref="F44" r:id="rId40" display="https://jobs.ashbyhq.com/the-global-talent-co/141a52e8-050a-4761-8d5d-746f1a592efb/application"/>
    <hyperlink ref="F45" r:id="rId41" display="https://epilot.cloud/career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4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52"/>
    <col collapsed="false" customWidth="true" hidden="false" outlineLevel="0" max="3" min="3" style="1" width="30"/>
    <col collapsed="false" customWidth="true" hidden="false" outlineLevel="0" max="4" min="4" style="1" width="18"/>
    <col collapsed="false" customWidth="true" hidden="false" outlineLevel="0" max="5" min="5" style="1" width="96"/>
    <col collapsed="false" customWidth="true" hidden="false" outlineLevel="0" max="6" min="6" style="1" width="62"/>
    <col collapsed="false" customWidth="true" hidden="false" outlineLevel="0" max="7" min="7" style="1" width="46"/>
    <col collapsed="false" customWidth="true" hidden="false" outlineLevel="0" max="8" min="8" style="1" width="52"/>
    <col collapsed="false" customWidth="true" hidden="false" outlineLevel="0" max="9" min="9" style="1" width="84"/>
    <col collapsed="false" customWidth="true" hidden="false" outlineLevel="0" max="10" min="10" style="1" width="68"/>
    <col collapsed="false" customWidth="true" hidden="false" outlineLevel="0" max="11" min="11" style="1" width="34"/>
  </cols>
  <sheetData>
    <row r="1" customFormat="false" ht="18" hidden="false" customHeight="true" outlineLevel="0" collapsed="false">
      <c r="A1" s="2" t="s">
        <v>2535</v>
      </c>
    </row>
    <row r="2" customFormat="false" ht="15" hidden="false" customHeight="true" outlineLevel="0" collapsed="false">
      <c r="A2" s="3" t="s">
        <v>2536</v>
      </c>
    </row>
    <row r="4" customFormat="false" ht="30" hidden="false" customHeight="true" outlineLevel="0" collapsed="false">
      <c r="A4" s="4" t="s">
        <v>46</v>
      </c>
      <c r="B4" s="4" t="s">
        <v>2537</v>
      </c>
      <c r="C4" s="4" t="s">
        <v>4</v>
      </c>
      <c r="D4" s="4" t="s">
        <v>2538</v>
      </c>
      <c r="E4" s="4" t="s">
        <v>2539</v>
      </c>
      <c r="F4" s="4" t="s">
        <v>2540</v>
      </c>
      <c r="G4" s="4" t="s">
        <v>2541</v>
      </c>
      <c r="H4" s="4" t="s">
        <v>2542</v>
      </c>
      <c r="I4" s="4" t="s">
        <v>2543</v>
      </c>
      <c r="J4" s="4" t="s">
        <v>2544</v>
      </c>
      <c r="K4" s="4" t="s">
        <v>2545</v>
      </c>
    </row>
    <row r="5" customFormat="false" ht="45.75" hidden="false" customHeight="true" outlineLevel="0" collapsed="false">
      <c r="A5" s="5" t="s">
        <v>2546</v>
      </c>
      <c r="B5" s="7" t="s">
        <v>2547</v>
      </c>
      <c r="C5" s="7" t="s">
        <v>2548</v>
      </c>
      <c r="D5" s="11" t="s">
        <v>2549</v>
      </c>
      <c r="E5" s="7" t="s">
        <v>2550</v>
      </c>
      <c r="F5" s="7" t="s">
        <v>2551</v>
      </c>
      <c r="G5" s="12" t="s">
        <v>2552</v>
      </c>
      <c r="H5" s="7" t="s">
        <v>63</v>
      </c>
      <c r="I5" s="7" t="s">
        <v>2553</v>
      </c>
      <c r="J5" s="7" t="s">
        <v>2554</v>
      </c>
      <c r="K5" s="7" t="s">
        <v>2555</v>
      </c>
    </row>
    <row r="6" customFormat="false" ht="45.75" hidden="false" customHeight="true" outlineLevel="0" collapsed="false">
      <c r="A6" s="5" t="s">
        <v>2556</v>
      </c>
      <c r="B6" s="7" t="s">
        <v>2557</v>
      </c>
      <c r="C6" s="7" t="s">
        <v>2558</v>
      </c>
      <c r="D6" s="11" t="s">
        <v>2549</v>
      </c>
      <c r="E6" s="7" t="s">
        <v>2559</v>
      </c>
      <c r="F6" s="7" t="s">
        <v>2560</v>
      </c>
      <c r="G6" s="12" t="s">
        <v>2561</v>
      </c>
      <c r="H6" s="7" t="s">
        <v>63</v>
      </c>
      <c r="I6" s="7" t="s">
        <v>2562</v>
      </c>
      <c r="J6" s="7" t="s">
        <v>2563</v>
      </c>
      <c r="K6" s="7" t="s">
        <v>2564</v>
      </c>
    </row>
    <row r="7" customFormat="false" ht="45.75" hidden="false" customHeight="true" outlineLevel="0" collapsed="false">
      <c r="A7" s="5" t="s">
        <v>2565</v>
      </c>
      <c r="B7" s="7" t="s">
        <v>2566</v>
      </c>
      <c r="C7" s="7" t="s">
        <v>2567</v>
      </c>
      <c r="D7" s="11" t="s">
        <v>2549</v>
      </c>
      <c r="E7" s="7" t="s">
        <v>2568</v>
      </c>
      <c r="F7" s="7" t="s">
        <v>2569</v>
      </c>
      <c r="G7" s="12" t="s">
        <v>2570</v>
      </c>
      <c r="H7" s="7" t="s">
        <v>63</v>
      </c>
      <c r="I7" s="7" t="s">
        <v>2571</v>
      </c>
      <c r="J7" s="7" t="s">
        <v>2572</v>
      </c>
      <c r="K7" s="7" t="s">
        <v>2573</v>
      </c>
    </row>
    <row r="8" customFormat="false" ht="45.75" hidden="false" customHeight="true" outlineLevel="0" collapsed="false">
      <c r="A8" s="5" t="s">
        <v>2574</v>
      </c>
      <c r="B8" s="7" t="s">
        <v>2575</v>
      </c>
      <c r="C8" s="7" t="s">
        <v>2567</v>
      </c>
      <c r="D8" s="11" t="s">
        <v>2549</v>
      </c>
      <c r="E8" s="7" t="s">
        <v>2576</v>
      </c>
      <c r="F8" s="7" t="s">
        <v>2577</v>
      </c>
      <c r="G8" s="12" t="s">
        <v>2578</v>
      </c>
      <c r="H8" s="7" t="s">
        <v>2579</v>
      </c>
      <c r="I8" s="7" t="s">
        <v>2580</v>
      </c>
      <c r="J8" s="7" t="s">
        <v>2581</v>
      </c>
      <c r="K8" s="7" t="s">
        <v>2582</v>
      </c>
    </row>
    <row r="9" customFormat="false" ht="45.75" hidden="false" customHeight="true" outlineLevel="0" collapsed="false">
      <c r="A9" s="5" t="s">
        <v>2583</v>
      </c>
      <c r="B9" s="7" t="s">
        <v>2584</v>
      </c>
      <c r="C9" s="7" t="s">
        <v>2585</v>
      </c>
      <c r="D9" s="11" t="s">
        <v>2549</v>
      </c>
      <c r="E9" s="7" t="s">
        <v>2586</v>
      </c>
      <c r="F9" s="7" t="s">
        <v>2587</v>
      </c>
      <c r="G9" s="12" t="s">
        <v>2588</v>
      </c>
      <c r="H9" s="7" t="s">
        <v>63</v>
      </c>
      <c r="I9" s="7" t="s">
        <v>2589</v>
      </c>
      <c r="J9" s="7" t="s">
        <v>2590</v>
      </c>
      <c r="K9" s="7" t="s">
        <v>2591</v>
      </c>
    </row>
    <row r="10" customFormat="false" ht="45.75" hidden="false" customHeight="true" outlineLevel="0" collapsed="false">
      <c r="A10" s="5" t="s">
        <v>2592</v>
      </c>
      <c r="B10" s="7" t="s">
        <v>2593</v>
      </c>
      <c r="C10" s="7" t="s">
        <v>2594</v>
      </c>
      <c r="D10" s="11" t="s">
        <v>2549</v>
      </c>
      <c r="E10" s="7" t="s">
        <v>2595</v>
      </c>
      <c r="F10" s="7" t="s">
        <v>2596</v>
      </c>
      <c r="G10" s="12" t="s">
        <v>2597</v>
      </c>
      <c r="H10" s="7" t="s">
        <v>2598</v>
      </c>
      <c r="I10" s="7" t="s">
        <v>2599</v>
      </c>
      <c r="J10" s="7" t="s">
        <v>2600</v>
      </c>
      <c r="K10" s="7" t="s">
        <v>2601</v>
      </c>
    </row>
    <row r="11" customFormat="false" ht="45.75" hidden="false" customHeight="true" outlineLevel="0" collapsed="false">
      <c r="A11" s="5" t="s">
        <v>2602</v>
      </c>
      <c r="B11" s="7" t="s">
        <v>2603</v>
      </c>
      <c r="C11" s="7" t="s">
        <v>2585</v>
      </c>
      <c r="D11" s="11" t="s">
        <v>2549</v>
      </c>
      <c r="E11" s="7" t="s">
        <v>2604</v>
      </c>
      <c r="F11" s="7" t="s">
        <v>2605</v>
      </c>
      <c r="G11" s="12" t="s">
        <v>2606</v>
      </c>
      <c r="H11" s="7" t="s">
        <v>2607</v>
      </c>
      <c r="I11" s="7" t="s">
        <v>2608</v>
      </c>
      <c r="J11" s="7" t="s">
        <v>2609</v>
      </c>
      <c r="K11" s="7" t="s">
        <v>2610</v>
      </c>
    </row>
    <row r="12" customFormat="false" ht="45.75" hidden="false" customHeight="true" outlineLevel="0" collapsed="false">
      <c r="A12" s="5" t="s">
        <v>2611</v>
      </c>
      <c r="B12" s="7" t="s">
        <v>2612</v>
      </c>
      <c r="C12" s="7" t="s">
        <v>2613</v>
      </c>
      <c r="D12" s="11" t="s">
        <v>2549</v>
      </c>
      <c r="E12" s="7" t="s">
        <v>2614</v>
      </c>
      <c r="F12" s="7" t="s">
        <v>2615</v>
      </c>
      <c r="G12" s="12" t="s">
        <v>2616</v>
      </c>
      <c r="H12" s="7" t="s">
        <v>63</v>
      </c>
      <c r="I12" s="7" t="s">
        <v>2617</v>
      </c>
      <c r="J12" s="7" t="s">
        <v>2618</v>
      </c>
      <c r="K12" s="7" t="s">
        <v>2619</v>
      </c>
    </row>
    <row r="13" customFormat="false" ht="45.75" hidden="false" customHeight="true" outlineLevel="0" collapsed="false">
      <c r="A13" s="5" t="s">
        <v>2620</v>
      </c>
      <c r="B13" s="7" t="s">
        <v>2621</v>
      </c>
      <c r="C13" s="7" t="s">
        <v>2622</v>
      </c>
      <c r="D13" s="11" t="s">
        <v>2549</v>
      </c>
      <c r="E13" s="7" t="s">
        <v>2623</v>
      </c>
      <c r="F13" s="7" t="s">
        <v>2624</v>
      </c>
      <c r="G13" s="12" t="s">
        <v>2625</v>
      </c>
      <c r="H13" s="7" t="s">
        <v>2626</v>
      </c>
      <c r="I13" s="7" t="s">
        <v>2627</v>
      </c>
      <c r="J13" s="7" t="s">
        <v>2628</v>
      </c>
      <c r="K13" s="7" t="s">
        <v>2629</v>
      </c>
    </row>
    <row r="14" customFormat="false" ht="45.75" hidden="false" customHeight="true" outlineLevel="0" collapsed="false">
      <c r="A14" s="5" t="s">
        <v>2630</v>
      </c>
      <c r="B14" s="7" t="s">
        <v>2631</v>
      </c>
      <c r="C14" s="7" t="s">
        <v>2632</v>
      </c>
      <c r="D14" s="11" t="s">
        <v>2549</v>
      </c>
      <c r="E14" s="7" t="s">
        <v>2633</v>
      </c>
      <c r="F14" s="7" t="s">
        <v>2634</v>
      </c>
      <c r="G14" s="12" t="s">
        <v>2635</v>
      </c>
      <c r="H14" s="7" t="s">
        <v>2636</v>
      </c>
      <c r="I14" s="7" t="s">
        <v>2637</v>
      </c>
      <c r="J14" s="7" t="s">
        <v>2638</v>
      </c>
      <c r="K14" s="7" t="s">
        <v>2639</v>
      </c>
    </row>
    <row r="15" customFormat="false" ht="45.75" hidden="false" customHeight="true" outlineLevel="0" collapsed="false">
      <c r="A15" s="5" t="s">
        <v>2640</v>
      </c>
      <c r="B15" s="7" t="s">
        <v>2641</v>
      </c>
      <c r="C15" s="7" t="s">
        <v>2642</v>
      </c>
      <c r="D15" s="11" t="s">
        <v>2549</v>
      </c>
      <c r="E15" s="7" t="s">
        <v>2643</v>
      </c>
      <c r="F15" s="7" t="s">
        <v>2644</v>
      </c>
      <c r="G15" s="12" t="s">
        <v>2645</v>
      </c>
      <c r="H15" s="7" t="s">
        <v>63</v>
      </c>
      <c r="I15" s="7" t="s">
        <v>2646</v>
      </c>
      <c r="J15" s="7" t="s">
        <v>2647</v>
      </c>
      <c r="K15" s="7" t="s">
        <v>2648</v>
      </c>
    </row>
    <row r="16" customFormat="false" ht="45.75" hidden="false" customHeight="true" outlineLevel="0" collapsed="false">
      <c r="A16" s="5" t="s">
        <v>2649</v>
      </c>
      <c r="B16" s="7" t="s">
        <v>2650</v>
      </c>
      <c r="C16" s="7" t="s">
        <v>2651</v>
      </c>
      <c r="D16" s="11" t="s">
        <v>2549</v>
      </c>
      <c r="E16" s="7" t="s">
        <v>2652</v>
      </c>
      <c r="F16" s="7" t="s">
        <v>2653</v>
      </c>
      <c r="G16" s="12" t="s">
        <v>2654</v>
      </c>
      <c r="H16" s="7" t="s">
        <v>2655</v>
      </c>
      <c r="I16" s="7" t="s">
        <v>2656</v>
      </c>
      <c r="J16" s="7" t="s">
        <v>2657</v>
      </c>
      <c r="K16" s="7" t="s">
        <v>2658</v>
      </c>
    </row>
    <row r="17" customFormat="false" ht="45.75" hidden="false" customHeight="true" outlineLevel="0" collapsed="false">
      <c r="A17" s="5" t="s">
        <v>2659</v>
      </c>
      <c r="B17" s="7" t="s">
        <v>2660</v>
      </c>
      <c r="C17" s="7" t="s">
        <v>2632</v>
      </c>
      <c r="D17" s="11" t="s">
        <v>2549</v>
      </c>
      <c r="E17" s="7" t="s">
        <v>2661</v>
      </c>
      <c r="F17" s="7" t="s">
        <v>2662</v>
      </c>
      <c r="G17" s="7" t="s">
        <v>2663</v>
      </c>
      <c r="H17" s="7" t="s">
        <v>63</v>
      </c>
      <c r="I17" s="7" t="s">
        <v>2664</v>
      </c>
      <c r="J17" s="7" t="s">
        <v>2665</v>
      </c>
      <c r="K17" s="7" t="s">
        <v>2666</v>
      </c>
    </row>
    <row r="18" customFormat="false" ht="34.5" hidden="false" customHeight="true" outlineLevel="0" collapsed="false">
      <c r="A18" s="5" t="s">
        <v>2667</v>
      </c>
      <c r="B18" s="7" t="s">
        <v>2668</v>
      </c>
      <c r="C18" s="7" t="s">
        <v>2669</v>
      </c>
      <c r="D18" s="11" t="s">
        <v>2549</v>
      </c>
      <c r="E18" s="7" t="s">
        <v>2670</v>
      </c>
      <c r="F18" s="7" t="s">
        <v>2671</v>
      </c>
      <c r="G18" s="12" t="s">
        <v>2672</v>
      </c>
      <c r="H18" s="7" t="s">
        <v>2673</v>
      </c>
      <c r="I18" s="7" t="s">
        <v>2674</v>
      </c>
      <c r="J18" s="7" t="s">
        <v>2675</v>
      </c>
      <c r="K18" s="7" t="s">
        <v>2676</v>
      </c>
    </row>
    <row r="19" customFormat="false" ht="45.75" hidden="false" customHeight="true" outlineLevel="0" collapsed="false">
      <c r="A19" s="5" t="s">
        <v>2677</v>
      </c>
      <c r="B19" s="7" t="s">
        <v>2678</v>
      </c>
      <c r="C19" s="7" t="s">
        <v>2632</v>
      </c>
      <c r="D19" s="11" t="s">
        <v>2549</v>
      </c>
      <c r="E19" s="7" t="s">
        <v>2679</v>
      </c>
      <c r="F19" s="7" t="s">
        <v>2680</v>
      </c>
      <c r="G19" s="12" t="s">
        <v>2681</v>
      </c>
      <c r="H19" s="7" t="s">
        <v>2682</v>
      </c>
      <c r="I19" s="7" t="s">
        <v>2683</v>
      </c>
      <c r="J19" s="7" t="s">
        <v>2684</v>
      </c>
      <c r="K19" s="7" t="s">
        <v>2685</v>
      </c>
    </row>
    <row r="20" customFormat="false" ht="45.75" hidden="false" customHeight="true" outlineLevel="0" collapsed="false">
      <c r="A20" s="5" t="s">
        <v>2686</v>
      </c>
      <c r="B20" s="7" t="s">
        <v>2687</v>
      </c>
      <c r="C20" s="7" t="s">
        <v>2688</v>
      </c>
      <c r="D20" s="11" t="s">
        <v>2549</v>
      </c>
      <c r="E20" s="7" t="s">
        <v>2689</v>
      </c>
      <c r="F20" s="7" t="s">
        <v>2690</v>
      </c>
      <c r="G20" s="12" t="s">
        <v>2691</v>
      </c>
      <c r="H20" s="7" t="s">
        <v>2692</v>
      </c>
      <c r="I20" s="7" t="s">
        <v>2693</v>
      </c>
      <c r="J20" s="7" t="s">
        <v>2694</v>
      </c>
      <c r="K20" s="7" t="s">
        <v>2695</v>
      </c>
    </row>
    <row r="21" customFormat="false" ht="45.75" hidden="false" customHeight="true" outlineLevel="0" collapsed="false">
      <c r="A21" s="5" t="s">
        <v>2696</v>
      </c>
      <c r="B21" s="7" t="s">
        <v>2697</v>
      </c>
      <c r="C21" s="7" t="s">
        <v>2698</v>
      </c>
      <c r="D21" s="11" t="s">
        <v>2549</v>
      </c>
      <c r="E21" s="7" t="s">
        <v>2699</v>
      </c>
      <c r="F21" s="7" t="s">
        <v>2700</v>
      </c>
      <c r="G21" s="12" t="s">
        <v>2701</v>
      </c>
      <c r="H21" s="7" t="s">
        <v>2702</v>
      </c>
      <c r="I21" s="7" t="s">
        <v>2703</v>
      </c>
      <c r="J21" s="7" t="s">
        <v>2704</v>
      </c>
      <c r="K21" s="7" t="s">
        <v>2705</v>
      </c>
    </row>
    <row r="22" customFormat="false" ht="45.75" hidden="false" customHeight="true" outlineLevel="0" collapsed="false">
      <c r="A22" s="5" t="s">
        <v>2706</v>
      </c>
      <c r="B22" s="7" t="s">
        <v>2707</v>
      </c>
      <c r="C22" s="7" t="s">
        <v>2594</v>
      </c>
      <c r="D22" s="11" t="s">
        <v>2549</v>
      </c>
      <c r="E22" s="7" t="s">
        <v>2708</v>
      </c>
      <c r="F22" s="7" t="s">
        <v>2709</v>
      </c>
      <c r="G22" s="12" t="s">
        <v>2710</v>
      </c>
      <c r="H22" s="7" t="s">
        <v>63</v>
      </c>
      <c r="I22" s="7" t="s">
        <v>2711</v>
      </c>
      <c r="J22" s="7" t="s">
        <v>2712</v>
      </c>
      <c r="K22" s="7" t="s">
        <v>2713</v>
      </c>
    </row>
    <row r="23" customFormat="false" ht="34.5" hidden="false" customHeight="true" outlineLevel="0" collapsed="false">
      <c r="A23" s="5" t="s">
        <v>2714</v>
      </c>
      <c r="B23" s="7" t="s">
        <v>2715</v>
      </c>
      <c r="C23" s="7" t="s">
        <v>2716</v>
      </c>
      <c r="D23" s="11" t="s">
        <v>2549</v>
      </c>
      <c r="E23" s="7" t="s">
        <v>2717</v>
      </c>
      <c r="F23" s="7" t="s">
        <v>2718</v>
      </c>
      <c r="G23" s="12" t="s">
        <v>2719</v>
      </c>
      <c r="H23" s="7" t="s">
        <v>2720</v>
      </c>
      <c r="I23" s="7" t="s">
        <v>2721</v>
      </c>
      <c r="J23" s="7" t="s">
        <v>2722</v>
      </c>
      <c r="K23" s="7" t="s">
        <v>2723</v>
      </c>
    </row>
    <row r="24" customFormat="false" ht="45.75" hidden="false" customHeight="true" outlineLevel="0" collapsed="false">
      <c r="A24" s="5" t="s">
        <v>2724</v>
      </c>
      <c r="B24" s="7" t="s">
        <v>2725</v>
      </c>
      <c r="C24" s="7" t="s">
        <v>2726</v>
      </c>
      <c r="D24" s="11" t="s">
        <v>2549</v>
      </c>
      <c r="E24" s="7" t="s">
        <v>2727</v>
      </c>
      <c r="F24" s="7" t="s">
        <v>2728</v>
      </c>
      <c r="G24" s="12" t="s">
        <v>2729</v>
      </c>
      <c r="H24" s="7" t="s">
        <v>2730</v>
      </c>
      <c r="I24" s="7" t="s">
        <v>2731</v>
      </c>
      <c r="J24" s="7" t="s">
        <v>2732</v>
      </c>
      <c r="K24" s="7" t="s">
        <v>2733</v>
      </c>
    </row>
    <row r="25" customFormat="false" ht="34.5" hidden="false" customHeight="true" outlineLevel="0" collapsed="false">
      <c r="A25" s="5" t="s">
        <v>2734</v>
      </c>
      <c r="B25" s="7" t="s">
        <v>2735</v>
      </c>
      <c r="C25" s="7" t="s">
        <v>2736</v>
      </c>
      <c r="D25" s="11" t="s">
        <v>2549</v>
      </c>
      <c r="E25" s="7" t="s">
        <v>2737</v>
      </c>
      <c r="F25" s="7" t="s">
        <v>2738</v>
      </c>
      <c r="G25" s="12" t="s">
        <v>2739</v>
      </c>
      <c r="H25" s="7" t="s">
        <v>2740</v>
      </c>
      <c r="I25" s="7" t="s">
        <v>2741</v>
      </c>
      <c r="J25" s="7" t="s">
        <v>2742</v>
      </c>
      <c r="K25" s="7" t="s">
        <v>2743</v>
      </c>
    </row>
    <row r="26" customFormat="false" ht="34.5" hidden="false" customHeight="true" outlineLevel="0" collapsed="false">
      <c r="A26" s="5" t="s">
        <v>2744</v>
      </c>
      <c r="B26" s="7" t="s">
        <v>2745</v>
      </c>
      <c r="C26" s="7" t="s">
        <v>2746</v>
      </c>
      <c r="D26" s="14" t="s">
        <v>2747</v>
      </c>
      <c r="E26" s="7" t="s">
        <v>2748</v>
      </c>
      <c r="F26" s="7" t="s">
        <v>2749</v>
      </c>
      <c r="G26" s="12" t="s">
        <v>2750</v>
      </c>
      <c r="H26" s="7" t="s">
        <v>2730</v>
      </c>
      <c r="I26" s="7" t="s">
        <v>2751</v>
      </c>
      <c r="J26" s="7" t="s">
        <v>2752</v>
      </c>
      <c r="K26" s="7" t="s">
        <v>2753</v>
      </c>
    </row>
    <row r="27" customFormat="false" ht="45.75" hidden="false" customHeight="true" outlineLevel="0" collapsed="false">
      <c r="A27" s="5" t="s">
        <v>2754</v>
      </c>
      <c r="B27" s="7" t="s">
        <v>2755</v>
      </c>
      <c r="C27" s="7" t="s">
        <v>2756</v>
      </c>
      <c r="D27" s="14" t="s">
        <v>2747</v>
      </c>
      <c r="E27" s="7" t="s">
        <v>2757</v>
      </c>
      <c r="F27" s="7" t="s">
        <v>2758</v>
      </c>
      <c r="G27" s="12" t="s">
        <v>2759</v>
      </c>
      <c r="H27" s="7" t="s">
        <v>63</v>
      </c>
      <c r="I27" s="7" t="s">
        <v>2760</v>
      </c>
      <c r="J27" s="7" t="s">
        <v>2761</v>
      </c>
      <c r="K27" s="7" t="s">
        <v>2762</v>
      </c>
    </row>
    <row r="28" customFormat="false" ht="34.5" hidden="false" customHeight="true" outlineLevel="0" collapsed="false">
      <c r="A28" s="5" t="s">
        <v>2763</v>
      </c>
      <c r="B28" s="7" t="s">
        <v>2764</v>
      </c>
      <c r="C28" s="7" t="s">
        <v>2765</v>
      </c>
      <c r="D28" s="14" t="s">
        <v>2747</v>
      </c>
      <c r="E28" s="7" t="s">
        <v>2766</v>
      </c>
      <c r="F28" s="7" t="s">
        <v>2767</v>
      </c>
      <c r="G28" s="12" t="s">
        <v>2768</v>
      </c>
      <c r="H28" s="7" t="s">
        <v>63</v>
      </c>
      <c r="I28" s="7" t="s">
        <v>2769</v>
      </c>
      <c r="J28" s="7" t="s">
        <v>2770</v>
      </c>
      <c r="K28" s="7" t="s">
        <v>2771</v>
      </c>
    </row>
    <row r="29" customFormat="false" ht="34.5" hidden="false" customHeight="true" outlineLevel="0" collapsed="false">
      <c r="A29" s="5" t="s">
        <v>2772</v>
      </c>
      <c r="B29" s="7" t="s">
        <v>2773</v>
      </c>
      <c r="C29" s="7" t="s">
        <v>2774</v>
      </c>
      <c r="D29" s="14" t="s">
        <v>2747</v>
      </c>
      <c r="E29" s="7" t="s">
        <v>2775</v>
      </c>
      <c r="F29" s="7" t="s">
        <v>2776</v>
      </c>
      <c r="G29" s="7" t="s">
        <v>63</v>
      </c>
      <c r="H29" s="7" t="s">
        <v>2777</v>
      </c>
      <c r="I29" s="7" t="s">
        <v>2778</v>
      </c>
      <c r="J29" s="7" t="s">
        <v>2779</v>
      </c>
      <c r="K29" s="7" t="s">
        <v>2780</v>
      </c>
    </row>
    <row r="30" customFormat="false" ht="45.75" hidden="false" customHeight="true" outlineLevel="0" collapsed="false">
      <c r="A30" s="5" t="s">
        <v>2781</v>
      </c>
      <c r="B30" s="7" t="s">
        <v>2782</v>
      </c>
      <c r="C30" s="7" t="s">
        <v>2783</v>
      </c>
      <c r="D30" s="14" t="s">
        <v>2747</v>
      </c>
      <c r="E30" s="7" t="s">
        <v>2784</v>
      </c>
      <c r="F30" s="7" t="s">
        <v>2785</v>
      </c>
      <c r="G30" s="12" t="s">
        <v>2786</v>
      </c>
      <c r="H30" s="7" t="s">
        <v>2787</v>
      </c>
      <c r="I30" s="7" t="s">
        <v>2788</v>
      </c>
      <c r="J30" s="7" t="s">
        <v>2789</v>
      </c>
      <c r="K30" s="7" t="s">
        <v>2790</v>
      </c>
    </row>
    <row r="31" customFormat="false" ht="45.75" hidden="false" customHeight="true" outlineLevel="0" collapsed="false">
      <c r="A31" s="5" t="s">
        <v>2791</v>
      </c>
      <c r="B31" s="7" t="s">
        <v>2792</v>
      </c>
      <c r="C31" s="7" t="s">
        <v>2783</v>
      </c>
      <c r="D31" s="14" t="s">
        <v>2747</v>
      </c>
      <c r="E31" s="7" t="s">
        <v>2793</v>
      </c>
      <c r="F31" s="7" t="s">
        <v>2794</v>
      </c>
      <c r="G31" s="12" t="s">
        <v>2795</v>
      </c>
      <c r="H31" s="7" t="s">
        <v>63</v>
      </c>
      <c r="I31" s="7" t="s">
        <v>2796</v>
      </c>
      <c r="J31" s="7" t="s">
        <v>2797</v>
      </c>
      <c r="K31" s="7" t="s">
        <v>2798</v>
      </c>
    </row>
    <row r="32" customFormat="false" ht="45.75" hidden="false" customHeight="true" outlineLevel="0" collapsed="false">
      <c r="A32" s="5" t="s">
        <v>2799</v>
      </c>
      <c r="B32" s="7" t="s">
        <v>2800</v>
      </c>
      <c r="C32" s="7" t="s">
        <v>2765</v>
      </c>
      <c r="D32" s="14" t="s">
        <v>2801</v>
      </c>
      <c r="E32" s="7" t="s">
        <v>2802</v>
      </c>
      <c r="F32" s="7" t="s">
        <v>2803</v>
      </c>
      <c r="G32" s="12" t="s">
        <v>2804</v>
      </c>
      <c r="H32" s="7" t="s">
        <v>2730</v>
      </c>
      <c r="I32" s="7" t="s">
        <v>2805</v>
      </c>
      <c r="J32" s="7" t="s">
        <v>2806</v>
      </c>
      <c r="K32" s="7" t="s">
        <v>2807</v>
      </c>
    </row>
    <row r="33" customFormat="false" ht="45.75" hidden="false" customHeight="true" outlineLevel="0" collapsed="false">
      <c r="A33" s="5" t="s">
        <v>2808</v>
      </c>
      <c r="B33" s="7" t="s">
        <v>2809</v>
      </c>
      <c r="C33" s="7" t="s">
        <v>2810</v>
      </c>
      <c r="D33" s="14" t="s">
        <v>2747</v>
      </c>
      <c r="E33" s="7" t="s">
        <v>2811</v>
      </c>
      <c r="F33" s="7" t="s">
        <v>2812</v>
      </c>
      <c r="G33" s="7" t="s">
        <v>2813</v>
      </c>
      <c r="H33" s="7" t="s">
        <v>63</v>
      </c>
      <c r="I33" s="7" t="s">
        <v>2814</v>
      </c>
      <c r="J33" s="7" t="s">
        <v>2815</v>
      </c>
      <c r="K33" s="7" t="s">
        <v>2816</v>
      </c>
    </row>
    <row r="34" customFormat="false" ht="45.75" hidden="false" customHeight="true" outlineLevel="0" collapsed="false">
      <c r="A34" s="5" t="s">
        <v>2817</v>
      </c>
      <c r="B34" s="7" t="s">
        <v>2818</v>
      </c>
      <c r="C34" s="7" t="s">
        <v>2669</v>
      </c>
      <c r="D34" s="14" t="s">
        <v>2747</v>
      </c>
      <c r="E34" s="7" t="s">
        <v>2819</v>
      </c>
      <c r="F34" s="7" t="s">
        <v>2820</v>
      </c>
      <c r="G34" s="12" t="s">
        <v>2821</v>
      </c>
      <c r="H34" s="7" t="s">
        <v>2822</v>
      </c>
      <c r="I34" s="7" t="s">
        <v>2823</v>
      </c>
      <c r="J34" s="7" t="s">
        <v>2824</v>
      </c>
      <c r="K34" s="7" t="s">
        <v>2825</v>
      </c>
    </row>
    <row r="35" customFormat="false" ht="45.75" hidden="false" customHeight="true" outlineLevel="0" collapsed="false">
      <c r="A35" s="5" t="s">
        <v>2826</v>
      </c>
      <c r="B35" s="7" t="s">
        <v>2827</v>
      </c>
      <c r="C35" s="7" t="s">
        <v>2828</v>
      </c>
      <c r="D35" s="14" t="s">
        <v>2747</v>
      </c>
      <c r="E35" s="7" t="s">
        <v>2829</v>
      </c>
      <c r="F35" s="7" t="s">
        <v>2830</v>
      </c>
      <c r="G35" s="12" t="s">
        <v>2831</v>
      </c>
      <c r="H35" s="7" t="s">
        <v>63</v>
      </c>
      <c r="I35" s="7" t="s">
        <v>2832</v>
      </c>
      <c r="J35" s="7" t="s">
        <v>2833</v>
      </c>
      <c r="K35" s="7" t="s">
        <v>2834</v>
      </c>
    </row>
    <row r="36" customFormat="false" ht="45.75" hidden="false" customHeight="true" outlineLevel="0" collapsed="false">
      <c r="A36" s="5" t="s">
        <v>2835</v>
      </c>
      <c r="B36" s="7" t="s">
        <v>2836</v>
      </c>
      <c r="C36" s="7" t="s">
        <v>2837</v>
      </c>
      <c r="D36" s="14" t="s">
        <v>2801</v>
      </c>
      <c r="E36" s="7" t="s">
        <v>2838</v>
      </c>
      <c r="F36" s="7" t="s">
        <v>2839</v>
      </c>
      <c r="G36" s="12" t="s">
        <v>2840</v>
      </c>
      <c r="H36" s="7" t="s">
        <v>63</v>
      </c>
      <c r="I36" s="7" t="s">
        <v>2841</v>
      </c>
      <c r="J36" s="7" t="s">
        <v>2842</v>
      </c>
      <c r="K36" s="7" t="s">
        <v>2843</v>
      </c>
    </row>
    <row r="37" customFormat="false" ht="45.75" hidden="false" customHeight="true" outlineLevel="0" collapsed="false">
      <c r="A37" s="5" t="s">
        <v>2844</v>
      </c>
      <c r="B37" s="7" t="s">
        <v>2845</v>
      </c>
      <c r="C37" s="7" t="s">
        <v>2846</v>
      </c>
      <c r="D37" s="14" t="s">
        <v>2747</v>
      </c>
      <c r="E37" s="7" t="s">
        <v>2847</v>
      </c>
      <c r="F37" s="7" t="s">
        <v>2848</v>
      </c>
      <c r="G37" s="12" t="s">
        <v>2849</v>
      </c>
      <c r="H37" s="7" t="s">
        <v>63</v>
      </c>
      <c r="I37" s="7" t="s">
        <v>2850</v>
      </c>
      <c r="J37" s="7" t="s">
        <v>2851</v>
      </c>
      <c r="K37" s="7" t="s">
        <v>2852</v>
      </c>
    </row>
    <row r="38" customFormat="false" ht="45.75" hidden="false" customHeight="true" outlineLevel="0" collapsed="false">
      <c r="A38" s="5" t="s">
        <v>2853</v>
      </c>
      <c r="B38" s="7" t="s">
        <v>2854</v>
      </c>
      <c r="C38" s="7" t="s">
        <v>2585</v>
      </c>
      <c r="D38" s="14" t="s">
        <v>2747</v>
      </c>
      <c r="E38" s="7" t="s">
        <v>2855</v>
      </c>
      <c r="F38" s="7" t="s">
        <v>2856</v>
      </c>
      <c r="G38" s="12" t="s">
        <v>2857</v>
      </c>
      <c r="H38" s="7" t="s">
        <v>63</v>
      </c>
      <c r="I38" s="7" t="s">
        <v>2858</v>
      </c>
      <c r="J38" s="7" t="s">
        <v>2859</v>
      </c>
      <c r="K38" s="7" t="s">
        <v>2860</v>
      </c>
    </row>
  </sheetData>
  <autoFilter ref="A4:K38"/>
  <hyperlinks>
    <hyperlink ref="G5" r:id="rId1" display="https://www.linkedin.com/company/wemakefuture/"/>
    <hyperlink ref="G6" r:id="rId2" display="https://de.linkedin.com/company/aoe"/>
    <hyperlink ref="G7" r:id="rId3" display="https://www.linkedin.com/company/aticco"/>
    <hyperlink ref="G8" r:id="rId4" display="https://www.linkedin.com/company/wearecloudworks"/>
    <hyperlink ref="G9" r:id="rId5" display="https://www.linkedin.com/company/cobot/"/>
    <hyperlink ref="G10" r:id="rId6" display="https://www.linkedin.com/company/copernicowork/"/>
    <hyperlink ref="G11" r:id="rId7" display="https://www.linkedin.com/company/coworkies"/>
    <hyperlink ref="G12" r:id="rId8" display="https://www.linkedin.com/company/deskimoapp"/>
    <hyperlink ref="G13" r:id="rId9" display="https://www.linkedin.com/company/digitalcubeai/"/>
    <hyperlink ref="G14" r:id="rId10" display="https://www.linkedin.com/company/flexas"/>
    <hyperlink ref="G15" r:id="rId11" display="https://www.linkedin.com/company/impacthubmilano and https://www.linkedin.com/company/impacthubnetwork"/>
    <hyperlink ref="G16" r:id="rId12" display="https://www.linkedin.com/company/makeitfuture/"/>
    <hyperlink ref="G18" r:id="rId13" display="https://www.linkedin.com/company/stx-next-ai-solutions"/>
    <hyperlink ref="G19" r:id="rId14" display="https://www.linkedin.com/company/saleslift-studio/"/>
    <hyperlink ref="G20" r:id="rId15" display="https://www.linkedin.com/company/spacebring"/>
    <hyperlink ref="G21" r:id="rId16" display="https://www.linkedin.com/company/spacent/"/>
    <hyperlink ref="G22" r:id="rId17" display="https://www.linkedin.com/company/talentgarden"/>
    <hyperlink ref="G23" r:id="rId18" display="https://linkedin.com/company/workfloows"/>
    <hyperlink ref="G24" r:id="rId19" display="https://www.linkedin.com/company/zapfloorhq"/>
    <hyperlink ref="G25" r:id="rId20" display="https://www.linkedin.com/company/atlantisdx"/>
    <hyperlink ref="G26" r:id="rId21" display="https://www.linkedin.com/company/ace-workflow"/>
    <hyperlink ref="G27" r:id="rId22" display="https://www.linkedin.com/company/archieapp"/>
    <hyperlink ref="G28" r:id="rId23" display="https://www.linkedin.com/company/decodifai"/>
    <hyperlink ref="G30" r:id="rId24" display="https://www.linkedin.com/company/goodspeed-studio/"/>
    <hyperlink ref="G31" r:id="rId25" display="https://www.linkedin.com/company/huckletree"/>
    <hyperlink ref="G32" r:id="rId26" display="https://nl.linkedin.com/company/leapforce-nl"/>
    <hyperlink ref="G34" r:id="rId27" display="https://www.linkedin.com/company/netguru"/>
    <hyperlink ref="G35" r:id="rId28" display="https://www.linkedin.com/company/sharedesk"/>
    <hyperlink ref="G36" r:id="rId29" display="https://www.linkedin.com/company/roboyo"/>
    <hyperlink ref="G37" r:id="rId30" display="https://www.linkedin.com/company/upflex"/>
    <hyperlink ref="G38" r:id="rId31" display="https://www.linkedin.com/company/betahau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2026-08-06T06:16:24Z</dcterms:created>
  <dc:creator>openpyxl</dc:creator>
  <dc:description/>
  <dc:language>en-US</dc:language>
  <cp:lastModifiedBy/>
  <dcterms:modified xsi:type="dcterms:W3CDTF">2026-08-06T16:07:51Z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