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New leads" sheetId="2" state="visible" r:id="rId4"/>
    <sheet name="LinkedIn finds" sheetId="3" state="visible" r:id="rId5"/>
    <sheet name="FlowSpace-like platforms" sheetId="4" state="visible" r:id="rId6"/>
    <sheet name="Submitted" sheetId="5" state="visible" r:id="rId7"/>
    <sheet name="Has a cover letter field" sheetId="6" state="visible" r:id="rId8"/>
    <sheet name="Needs you or blocked" sheetId="7" state="visible" r:id="rId9"/>
    <sheet name="Outreach targets" sheetId="8" state="visible" r:id="rId10"/>
  </sheets>
  <definedNames>
    <definedName function="false" hidden="true" localSheetId="3" name="_xlnm._FilterDatabase" vbProcedure="false">'FlowSpace-like platforms'!$A$4:$N$24</definedName>
    <definedName function="false" hidden="true" localSheetId="5" name="_xlnm._FilterDatabase" vbProcedure="false">'Has a cover letter field'!$A$4:$G$44</definedName>
    <definedName function="false" hidden="true" localSheetId="2" name="_xlnm._FilterDatabase" vbProcedure="false">'LinkedIn finds'!$A$4:$M$92</definedName>
    <definedName function="false" hidden="true" localSheetId="6" name="_xlnm._FilterDatabase" vbProcedure="false">'Needs you or blocked'!$A$4:$F$84</definedName>
    <definedName function="false" hidden="true" localSheetId="1" name="_xlnm._FilterDatabase" vbProcedure="false">'New leads'!$A$4:$M$154</definedName>
    <definedName function="false" hidden="true" localSheetId="7" name="_xlnm._FilterDatabase" vbProcedure="false">'Outreach targets'!$A$4:$K$38</definedName>
    <definedName function="false" hidden="true" localSheetId="4" name="_xlnm._FilterDatabase" vbProcedure="false">Submitted!$A$4:$G$69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<sst xmlns="http://schemas.openxmlformats.org/spreadsheetml/2006/main" count="4783" uniqueCount="2619">
  <si>
    <t xml:space="preserve">Job search - state of play, end of 6 August 2026</t>
  </si>
  <si>
    <t xml:space="preserve">Every row was confirmed on screen in a real browser. Nothing is counted as submitted without that. Rows 1 to 30 went out on 5 August 2026, chase them on 19 August. Rows 31 to 61 went out on 6 August, chase on 20 August. Rows 31 to 39 used the previous CV; rows 40 onward used the edited CV with working links, AliCreates removed and the contact-line icons fixed so they no longer parse as words.</t>
  </si>
  <si>
    <t xml:space="preserve">Measure</t>
  </si>
  <si>
    <t xml:space="preserve">Count</t>
  </si>
  <si>
    <t xml:space="preserve">Where</t>
  </si>
  <si>
    <t xml:space="preserve">Total leads still open on this workbook</t>
  </si>
  <si>
    <t xml:space="preserve">all three lead tabs, applied and dead roles removed</t>
  </si>
  <si>
    <t xml:space="preserve">  general leads, not applied to yet</t>
  </si>
  <si>
    <t xml:space="preserve">'New leads' tab, excludes the LinkedIn queue</t>
  </si>
  <si>
    <t xml:space="preserve">  FlowSpace-like platform leads</t>
  </si>
  <si>
    <t xml:space="preserve">'FlowSpace-like platforms' tab</t>
  </si>
  <si>
    <t xml:space="preserve">  LinkedIn finds, unopened queue</t>
  </si>
  <si>
    <t xml:space="preserve">'LinkedIn finds' tab</t>
  </si>
  <si>
    <t xml:space="preserve">    of those, tier 1</t>
  </si>
  <si>
    <t xml:space="preserve">'LinkedIn finds' tab, filter Tier = 1</t>
  </si>
  <si>
    <t xml:space="preserve">Tier 1, workable from Venice today (general)</t>
  </si>
  <si>
    <t xml:space="preserve">'New leads' tab, filter Tier = 1</t>
  </si>
  <si>
    <t xml:space="preserve">Applications submitted, all confirmed on screen</t>
  </si>
  <si>
    <t xml:space="preserve">'Submitted' tab</t>
  </si>
  <si>
    <t xml:space="preserve">  of those, sent on 6 August</t>
  </si>
  <si>
    <t xml:space="preserve">'Submitted' tab, rows 31 onward</t>
  </si>
  <si>
    <t xml:space="preserve">Skipped only because the form wants a cover letter</t>
  </si>
  <si>
    <t xml:space="preserve">'Has a cover letter field' tab</t>
  </si>
  <si>
    <t xml:space="preserve">Blocked or needing him (one row per role)</t>
  </si>
  <si>
    <t xml:space="preserve">'Needs you or blocked' tab</t>
  </si>
  <si>
    <t xml:space="preserve">  of those, he can clear himself in a browser</t>
  </si>
  <si>
    <t xml:space="preserve">'Needs you or blocked' tab, green rows</t>
  </si>
  <si>
    <t xml:space="preserve">  of those, waiting on words only he can write</t>
  </si>
  <si>
    <t xml:space="preserve">'Needs you or blocked' tab, amber rows</t>
  </si>
  <si>
    <t xml:space="preserve">  of those, postings that have since closed</t>
  </si>
  <si>
    <t xml:space="preserve">Outreach targets, companies to approach directly</t>
  </si>
  <si>
    <t xml:space="preserve">'Outreach targets' tab</t>
  </si>
  <si>
    <t xml:space="preserve">  of those, open to both a job and paid project work</t>
  </si>
  <si>
    <t xml:space="preserve">'Outreach targets' tab, filter Approach as = both</t>
  </si>
  <si>
    <t xml:space="preserve">Highest fit score, general leads</t>
  </si>
  <si>
    <t xml:space="preserve">'New leads' tab</t>
  </si>
  <si>
    <t xml:space="preserve">Median fit score, general leads</t>
  </si>
  <si>
    <t xml:space="preserve">Highest fit score, platform leads</t>
  </si>
  <si>
    <t xml:space="preserve">How to read the lead sheets</t>
  </si>
  <si>
    <t xml:space="preserve">Tier 1 (green)</t>
  </si>
  <si>
    <t xml:space="preserve">Workable from Venice today. No move and no authorisation question.</t>
  </si>
  <si>
    <t xml:space="preserve">Tier 2 (amber)</t>
  </si>
  <si>
    <t xml:space="preserve">Inside the EU but it means relocating, or a hybrid office he would move for. His Italian EU long-term residence permit covers the move without sponsorship, but he still files the local residence permit.</t>
  </si>
  <si>
    <t xml:space="preserve">Tier 3 (red)</t>
  </si>
  <si>
    <t xml:space="preserve">CV on every application, and from 6 August that is the edited CV with clickable blue links, AliCreates removed and the contact icons fixed. SALARY, raised by him twice on 6 August and now settled: normally EUR 40,000-50,000, stretching to 60,000 where the role warrants it, single-number fields get 45000, and never anchor on the posting's own published band. Cover letter rule: do NOT apply where the form has a cover letter field, optional or required; those go to the 'Has a cover letter field' tab. Keep-my-CV-on-file consents accepted, marketing newsletters declined. Where a form demands 3+ years, write 3. Passport country India. Pronouns he/him, gender male. No em dashes anywhere.</t>
  </si>
  <si>
    <t xml:space="preserve">Fit /100</t>
  </si>
  <si>
    <t xml:space="preserve">role match 30 + eligibility and work basis 25 + stack overlap 20 + seniority realism 15 + signal quality 10, minus a capped penalty for named gaps.</t>
  </si>
  <si>
    <t xml:space="preserve">Verification column</t>
  </si>
  <si>
    <t xml:space="preserve">Read this before trusting a row. Ashby posting pages are client-rendered and a DELETED Ashby URL still serves its old page title, so a title match proves nothing. Greenhouse board APIs report closed jobs as live and the posting URL then serves the board index. Rows marked medium or low were not fully readable.</t>
  </si>
  <si>
    <t xml:space="preserve">Watch-outs column</t>
  </si>
  <si>
    <t xml:space="preserve">The honest gaps, named. No Java, no Go or Rust, no deep Python backend, no Kubernetes, no Vue, no C# or .NET, no ML research, no public GitHub, no CS degree, English only.</t>
  </si>
  <si>
    <t xml:space="preserve">Language</t>
  </si>
  <si>
    <t xml:space="preserve">English only. Italian, German, Dutch and French roles are flagged. The Italian-language question has now cost several strong Italy-based roles, which is worth weighing against a B1 course.</t>
  </si>
  <si>
    <t xml:space="preserve">Standing rules applied</t>
  </si>
  <si>
    <t xml:space="preserve">CV on every application, and from 6 August that is the edited CV with clickable blue links and AliCreates removed. Salary or rate EUR 30,000-40,000 stated plainly, or EUR 200 a day on contract; single-number fields get 30000. Cover letter rule, corrected 6 August: do NOT apply at all where the form has a cover letter field, optional or required. Those roles go to the 'Has a cover letter field' tab untouched. Where a form demands 3+ years, write 3. Passport country India. Pronouns he/him, gender male. Sole trader with an individual Partita IVA, no limited company. No em dashes anywhere.</t>
  </si>
  <si>
    <t xml:space="preserve">New leads, not applied to yet</t>
  </si>
  <si>
    <t xml:space="preserve">Sorted by fit. Tier 1 green is workable from Venice today, tier 2 amber means relocating inside the EU, tier 3 red is out of reach. Read the Verification column before trusting a row: rows harvested from a LinkedIn or Indeed search were confirmed live and dated in a signed-in browser but their posting bodies were not opened individually, so eligibility, language and pay on those rows are unverified.</t>
  </si>
  <si>
    <t xml:space="preserve">Role</t>
  </si>
  <si>
    <t xml:space="preserve">Company</t>
  </si>
  <si>
    <t xml:space="preserve">Where / eligibility</t>
  </si>
  <si>
    <t xml:space="preserve">Tier</t>
  </si>
  <si>
    <t xml:space="preserve">Basis</t>
  </si>
  <si>
    <t xml:space="preserve">Language requirement</t>
  </si>
  <si>
    <t xml:space="preserve">Pay</t>
  </si>
  <si>
    <t xml:space="preserve">Posted</t>
  </si>
  <si>
    <t xml:space="preserve">Why it fits him</t>
  </si>
  <si>
    <t xml:space="preserve">Watch-outs (the honest gaps)</t>
  </si>
  <si>
    <t xml:space="preserve">Apply link</t>
  </si>
  <si>
    <t xml:space="preserve">Verification</t>
  </si>
  <si>
    <t xml:space="preserve">AI Workflow Automation with n8n</t>
  </si>
  <si>
    <t xml:space="preserve">Conlane Construction via Freelancer.com</t>
  </si>
  <si>
    <t xml:space="preserve">not stated  |  Remote, client based in India</t>
  </si>
  <si>
    <t xml:space="preserve">1</t>
  </si>
  <si>
    <t xml:space="preserve">freelance</t>
  </si>
  <si>
    <t xml:space="preserve">English only</t>
  </si>
  <si>
    <t xml:space="preserve">INR 1,500 to 12,500 paid on delivery, roughly EUR 16 to 135 total</t>
  </si>
  <si>
    <t xml:space="preserve">bidding ends in 6 days as of 6 Aug 2026</t>
  </si>
  <si>
    <t xml:space="preserve">n8n, OpenAI API, prompt engineering, WhatsApp Business API, REST APIs and webhooks, JavaScript and TypeScript, Node.js, CRM integration, PDF generation</t>
  </si>
  <si>
    <t xml:space="preserve">The budget is very low even as an MVP. The client frames it as an MVP that may become a longer partnership. Otherwise a good stack match.</t>
  </si>
  <si>
    <t xml:space="preserve">https://www.freelancer.com/projects/n8n/workflow-automation-with-40623345</t>
  </si>
  <si>
    <t xml:space="preserve">high - Rendered body confirms the title, the INR budget, the Hyderabad client and that it is open for bidding.</t>
  </si>
  <si>
    <t xml:space="preserve">n8n Developer - Fully Automated Social Media Workflow</t>
  </si>
  <si>
    <t xml:space="preserve">Private client via Freelancer.com (Brooklyn)</t>
  </si>
  <si>
    <t xml:space="preserve">not stated  |  Remote, client based in the United States</t>
  </si>
  <si>
    <t xml:space="preserve">USD 30 to 250 project budget</t>
  </si>
  <si>
    <t xml:space="preserve">6 Aug 2026, ends in 6 days</t>
  </si>
  <si>
    <t xml:space="preserve">n8n, OpenAI and Anthropic APIs, approval gates which are human-in-the-loop, error handling and retry logic, Supabase and Postgres, social APIs, documentation and handover</t>
  </si>
  <si>
    <t xml:space="preserve">A US client, but this is remote freelance so no work permit is involved and he invoices from Italy. The budget is very low for the scope described. Fal.ai image and video generation is outside his stack.</t>
  </si>
  <si>
    <t xml:space="preserve">https://www.freelancer.com/projects/ai-hw-sw/developer-automated-workflow-fully</t>
  </si>
  <si>
    <t xml:space="preserve">high - Rendered body confirms the exact title, the USD 30 to 250 budget, the Brooklyn client and that it is open for bidding.</t>
  </si>
  <si>
    <t xml:space="preserve">Marketing Automation and CRM Setup for Online Platform</t>
  </si>
  <si>
    <t xml:space="preserve">Private client via Freelancer.com (Noida)</t>
  </si>
  <si>
    <t xml:space="preserve">INR 12,500 to 37,500, roughly EUR 135 to 405 total</t>
  </si>
  <si>
    <t xml:space="preserve">1 Aug 2026, ends in 2 days</t>
  </si>
  <si>
    <t xml:space="preserve">n8n, Zapier or Make, CRM automation with HubSpot or Zoho, lead capture from Meta Lead Ads, webhooks and API integrations, lead scoring and segmentation, email and WhatsApp journeys, dashboards, documentation and handover</t>
  </si>
  <si>
    <t xml:space="preserve">Closes in 2 days and 66 proposals are already in. The budget is low for a full CRM plus automation build. The posting demands the word AUTOMATION as the first line of the proposal and rejects replies that look AI-written.</t>
  </si>
  <si>
    <t xml:space="preserve">https://www.freelancer.com/projects/n8n/marketing-automation-crm-setup-for</t>
  </si>
  <si>
    <t xml:space="preserve">high - Rendered body confirms the title, the INR budget, 66 proposals, the Noida client and that it is open for bidding.</t>
  </si>
  <si>
    <t xml:space="preserve">Sales Tech and Automation Specialist (ongoing remote work)</t>
  </si>
  <si>
    <t xml:space="preserve">Sales agency via the n8n Community jobs board</t>
  </si>
  <si>
    <t xml:space="preserve">some overlap with European working hours; our clients are mostly based in the US  |  Remote, European working hours overlap wanted</t>
  </si>
  <si>
    <t xml:space="preserve">contract</t>
  </si>
  <si>
    <t xml:space="preserve">not stated</t>
  </si>
  <si>
    <t xml:space="preserve">20 Jun 2026, newest reply 14 Jul 2026</t>
  </si>
  <si>
    <t xml:space="preserve">n8n, Make or Zapier, Airtable and SQL databases, webhooks and APIs, CRM automation with Close CRM, Calendly and Typeform, JavaScript code steps as a bonus</t>
  </si>
  <si>
    <t xml:space="preserve">Posted June 2026 and the most recent reply is someone asking whether the role is still open, with no confirmation from the poster. Ongoing retainer style work suits Partita IVA invoicing, but no rate is published. Apply route is an Airtable form.</t>
  </si>
  <si>
    <t xml:space="preserve">https://community.n8n.io/t/hiring-sales-tech-automation-specialist-ongoing-remote-work-crm-databases/300286</t>
  </si>
  <si>
    <t xml:space="preserve">medium - Rendered thread body confirms the title, the European working hours line, the stack and an Airtable Apply here link. Open status unconfirmed.</t>
  </si>
  <si>
    <t xml:space="preserve">n8n OpenAI Real Estate Scout</t>
  </si>
  <si>
    <t xml:space="preserve">Private client via Freelancer.com (Germany)</t>
  </si>
  <si>
    <t xml:space="preserve">not stated  |  Remote, client based in Germany</t>
  </si>
  <si>
    <t xml:space="preserve">English posting. Source data is German property portals so German listing text needs parsing, but no spoken German required.</t>
  </si>
  <si>
    <t xml:space="preserve">EUR 30 to 250 project budget</t>
  </si>
  <si>
    <t xml:space="preserve">6 Aug 2026, bidding ends in 6 days</t>
  </si>
  <si>
    <t xml:space="preserve">n8n, OpenAI API, JavaScript parsing helpers, email and HTML parsing, dedupe and scoring, Telegram and email notifications, scraping and parsing pipelines</t>
  </si>
  <si>
    <t xml:space="preserve">Budget is far below his day rate if scoped as stated. Skill tags also list Python and PHP. Marketplace escrow model, not a day-rate engagement. His individual Partita IVA is fine here, no limited company needed.</t>
  </si>
  <si>
    <t xml:space="preserve">https://www.freelancer.com/projects/n8n/openai-real-estate-scout</t>
  </si>
  <si>
    <t xml:space="preserve">high - Rendered body shows the exact title, full brief, the EUR 30 to 250 budget, the Germany client and an open Place your bid path.</t>
  </si>
  <si>
    <t xml:space="preserve">AI-Powered Content Automation and Distribution</t>
  </si>
  <si>
    <t xml:space="preserve">Private client via Freelancer.com (Serampore)</t>
  </si>
  <si>
    <t xml:space="preserve">bidding ends in 5 days as of 6 Aug 2026</t>
  </si>
  <si>
    <t xml:space="preserve">n8n or Make.com with the client supplying API keys, LLM steps, approval gates, YouTube and Pinterest API integration, workflow documentation and duplication</t>
  </si>
  <si>
    <t xml:space="preserve">Low budget. Also asks for video editing and image generation with Stable Diffusion or Midjourney, outside his stack. The build happens on the client's API keys.</t>
  </si>
  <si>
    <t xml:space="preserve">https://www.freelancer.com/projects/ai-hw-sw/powered-content-automation-distribution</t>
  </si>
  <si>
    <t xml:space="preserve">high - Rendered body confirms the title, the INR budget, the client and that it is open for bidding.</t>
  </si>
  <si>
    <t xml:space="preserve">n8n Automation Expert for Lead Management and WhatsApp Automation</t>
  </si>
  <si>
    <t xml:space="preserve">Private EdTech client via Freelancer.com (Qatar)</t>
  </si>
  <si>
    <t xml:space="preserve">not stated  |  Remote, client based in Qatar</t>
  </si>
  <si>
    <t xml:space="preserve">USD 2 to 8 an hour</t>
  </si>
  <si>
    <t xml:space="preserve">n8n, OpenAI API, WhatsApp Cloud API, REST APIs and webhooks, Postgres, CRM integration, lead management and follow-up automation, production-grade workflows</t>
  </si>
  <si>
    <t xml:space="preserve">A rate of USD 2 to 8 an hour is far below his quote. Only worth a bid if he anchors well above the range. The client signals long-term partnership intent.</t>
  </si>
  <si>
    <t xml:space="preserve">https://www.freelancer.com/projects/n8n/automation-expert-needed-for-lead-40626185</t>
  </si>
  <si>
    <t xml:space="preserve">high - Rendered body confirms the exact title, the USD 2 to 8 an hour line, the Qatar client and that it is open for bidding.</t>
  </si>
  <si>
    <t xml:space="preserve">AI Automation Specialist</t>
  </si>
  <si>
    <t xml:space="preserve">Pavago</t>
  </si>
  <si>
    <t xml:space="preserve">Worldwide  |  Remote worldwide, but US business hours required</t>
  </si>
  <si>
    <t xml:space="preserve">permanent</t>
  </si>
  <si>
    <t xml:space="preserve">English, excellent written and verbal communication. No local language.</t>
  </si>
  <si>
    <t xml:space="preserve">early Jul 2026</t>
  </si>
  <si>
    <t xml:space="preserve">Zapier, Make, n8n, Power Automate, OpenAI, Anthropic, Gemini, APIs, webhooks, Airtable, HubSpot. Near-total overlap with his no-code and LLM-integration work.</t>
  </si>
  <si>
    <t xml:space="preserve">US business hours from Venice is a real cost. Pavago is a placement agency, so the end client is unnamed and terms are opaque. No pay figure.</t>
  </si>
  <si>
    <t xml:space="preserve">https://euremotejobs.com/job/ai-automation-specialist-2/</t>
  </si>
  <si>
    <t xml:space="preserve">medium - Rendered euremotejobs body shows title, company, Worldwide plus US hours, the full tool list and Active status.</t>
  </si>
  <si>
    <t xml:space="preserve">n8n Automation Specialist</t>
  </si>
  <si>
    <t xml:space="preserve">Private client via Freelancer.com (Madrid)</t>
  </si>
  <si>
    <t xml:space="preserve">not stated  |  Remote, client based in Spain</t>
  </si>
  <si>
    <t xml:space="preserve">English posting, no language requirement stated</t>
  </si>
  <si>
    <t xml:space="preserve">bidding open with 6 days left as of 6 Aug 2026</t>
  </si>
  <si>
    <t xml:space="preserve">n8n, Google Sheets as CRM, API integration, workflow automation, CRM automation</t>
  </si>
  <si>
    <t xml:space="preserve">Very small budget. Skill tags include Salesforce and PHP; PHP is fine for him, Salesforce is not on his CV. The brief is thin, so scope creep risk. An EU client, so euro invoicing from his Partita IVA is clean.</t>
  </si>
  <si>
    <t xml:space="preserve">https://www.freelancer.com/projects/google-sheets/automation-specialist</t>
  </si>
  <si>
    <t xml:space="preserve">high - Rendered body confirms the title, EUR 30 to 250, the Madrid client and that it is open for bidding.</t>
  </si>
  <si>
    <t xml:space="preserve">Junior AI Engineer</t>
  </si>
  <si>
    <t xml:space="preserve">capital.com</t>
  </si>
  <si>
    <t xml:space="preserve">not stated  |  Limassol, Cyprus, hybrid, relocation</t>
  </si>
  <si>
    <t xml:space="preserve">2</t>
  </si>
  <si>
    <t xml:space="preserve">Good command of English, both written and verbal</t>
  </si>
  <si>
    <t xml:space="preserve">n8n, Zapier, Make, JavaScript, Python, REST APIs, SQL, relational databases, data warehouses, BI tools, LLM integrations</t>
  </si>
  <si>
    <t xml:space="preserve">Junior banding with no years floor and no degree requirement stated, which suits him unusually well. Cyprus pay may land at or below the low end of his band. Cyprus is English-working.</t>
  </si>
  <si>
    <t xml:space="preserve">https://jobs.lever.co/capital/371d503f-1eaf-4c83-a2d8-d312e44bca4d</t>
  </si>
  <si>
    <t xml:space="preserve">high - Rendered body showed the title, the Limassol location, n8n, Zapier and Make in the requirements, and an apply button.</t>
  </si>
  <si>
    <t xml:space="preserve">Meta Business Agents Setup Expert</t>
  </si>
  <si>
    <t xml:space="preserve">Private client via Freelancer.com (Quito)</t>
  </si>
  <si>
    <t xml:space="preserve">not stated  |  Remote, client based in Ecuador</t>
  </si>
  <si>
    <t xml:space="preserve">English posting. The client is in a Spanish-speaking market but no language requirement is stated.</t>
  </si>
  <si>
    <t xml:space="preserve">USD 250 to 750 project budget</t>
  </si>
  <si>
    <t xml:space="preserve">AI agents, CRM routing and lead qualification rules, lead generation automation, handover documentation</t>
  </si>
  <si>
    <t xml:space="preserve">A narrow configuration job inside Meta Business Manager rather than a build, so a weaker fit for his n8n depth. Same-day turnaround preferred, so he must be free immediately.</t>
  </si>
  <si>
    <t xml:space="preserve">https://www.freelancer.com/projects/crm/meta-business-agents-setup-expert</t>
  </si>
  <si>
    <t xml:space="preserve">high - Rendered body confirms the title, the USD 250 to 750 budget, the Quito client and that it is open for bidding.</t>
  </si>
  <si>
    <t xml:space="preserve">No Code / AI Automation Engineer (n8n, make, zapier)</t>
  </si>
  <si>
    <t xml:space="preserve">Stockly</t>
  </si>
  <si>
    <t xml:space="preserve">Found in the 5 August sweep. Full detail is in the batch shortlist docs saved to the Job Search project.</t>
  </si>
  <si>
    <t xml:space="preserve">see posting</t>
  </si>
  <si>
    <t xml:space="preserve">5 Aug 2026</t>
  </si>
  <si>
    <t xml:space="preserve">https://www.welcometothejungle.com/en/companies/stockly/jobs/no-code-ai-automation-engineer_paris</t>
  </si>
  <si>
    <t xml:space="preserve">verified in a real browser during the 5 August sweep</t>
  </si>
  <si>
    <t xml:space="preserve">Marketing AI and Automation Specialist</t>
  </si>
  <si>
    <t xml:space="preserve">Dorado Software Group (Portugal req)</t>
  </si>
  <si>
    <t xml:space="preserve">Portugal only  |  Portugal, remote</t>
  </si>
  <si>
    <t xml:space="preserve">English, no local language mentioned</t>
  </si>
  <si>
    <t xml:space="preserve">30 Jul 2026, deadline 28 Sep 2026</t>
  </si>
  <si>
    <t xml:space="preserve">HubSpot, Zapier, Make, n8n, Claude, ChatGPT, Copilot, CRM automation, lead scoring, prompt engineering, JavaScript, AI agents</t>
  </si>
  <si>
    <t xml:space="preserve">Portugal residence required, so a move. Demands a portfolio of at least one shipped AI marketing workflow at interview. Marketing-ops leaning.</t>
  </si>
  <si>
    <t xml:space="preserve">https://himalayas.app/companies/dorado-software-group/jobs/marketing-ai-automation-specialist-4568269099</t>
  </si>
  <si>
    <t xml:space="preserve">medium - Himalayas rendered title, full requirements, Portugal only and an apply path.</t>
  </si>
  <si>
    <t xml:space="preserve">Dorado Software Group (Poland req)</t>
  </si>
  <si>
    <t xml:space="preserve">Poland only  |  Poland, remote</t>
  </si>
  <si>
    <t xml:space="preserve">30 Jul 2026, deadline 29 Sep 2026</t>
  </si>
  <si>
    <t xml:space="preserve">HubSpot, Zapier, Make, n8n or HubSpot Breeze, ChatGPT, Claude, Copilot, CRM admin, prompt engineering, process documentation</t>
  </si>
  <si>
    <t xml:space="preserve">Poland residence required. Asks 2 years minimum in marketing operations, adjacent to but not identical to automation engineering.</t>
  </si>
  <si>
    <t xml:space="preserve">https://himalayas.app/companies/dorado-software-group/jobs/marketing-ai-automation-specialist-7630585410</t>
  </si>
  <si>
    <t xml:space="preserve">medium - Himalayas rendered title, Poland only, requirements and apply path.</t>
  </si>
  <si>
    <t xml:space="preserve">Dorado Software Group (Romania req)</t>
  </si>
  <si>
    <t xml:space="preserve">Romania only  |  Romania, remote</t>
  </si>
  <si>
    <t xml:space="preserve">31 Jul 2026, deadline 29 Sep 2026</t>
  </si>
  <si>
    <t xml:space="preserve">HubSpot, Zapier, Make, n8n, Claude, ChatGPT, Copilot, CRM automation, lead management, AI agents, content automation, JavaScript</t>
  </si>
  <si>
    <t xml:space="preserve">Romania residence required. Newest of the four country variants, so pick one and apply once.</t>
  </si>
  <si>
    <t xml:space="preserve">https://himalayas.app/companies/dorado-software-group/jobs/marketing-ai-automation-specialist-5796186857</t>
  </si>
  <si>
    <t xml:space="preserve">medium - Himalayas rendered title, Romania only, full skills list and apply path.</t>
  </si>
  <si>
    <t xml:space="preserve">Accounting Automation Engineer</t>
  </si>
  <si>
    <t xml:space="preserve">Spotter Labs</t>
  </si>
  <si>
    <t xml:space="preserve">Open to candidates from all countries  |  Remote, worldwide</t>
  </si>
  <si>
    <t xml:space="preserve">12 Jul 2026</t>
  </si>
  <si>
    <t xml:space="preserve">Zapier, Power Automate which he is certified in, APIs, ERP integration, Google Apps Script, dashboarding</t>
  </si>
  <si>
    <t xml:space="preserve">SQL, Python, Power Query and VBA all listed as required, and he is weak on Python with no VBA. Accounting domain is new. No n8n or Make in the stack.</t>
  </si>
  <si>
    <t xml:space="preserve">https://himalayas.app/companies/spotter-labs/jobs/accounting-automation-engineer</t>
  </si>
  <si>
    <t xml:space="preserve">medium - Himalayas rendered title, Open to candidates from all countries, full skills list and apply path.</t>
  </si>
  <si>
    <t xml:space="preserve">GTM Engineer (f/m/d)</t>
  </si>
  <si>
    <t xml:space="preserve">Integral</t>
  </si>
  <si>
    <t xml:space="preserve">Berlin  |  Germany, Berlin</t>
  </si>
  <si>
    <t xml:space="preserve">English, listed under English-speaking jobs, no German in the body</t>
  </si>
  <si>
    <t xml:space="preserve">Above-market salary, no figure</t>
  </si>
  <si>
    <t xml:space="preserve">3 Aug 2026</t>
  </si>
  <si>
    <t xml:space="preserve">HubSpot, Clay, Apollo, Zapier, Make, APIs, webhooks, data pipelines, AI agents and LLMs, Cursor, OpenAI tooling. Asks 2 to 4 years, which brackets him exactly.</t>
  </si>
  <si>
    <t xml:space="preserve">Berlin office, so a move. The (f/m/d) convention means confirm German is really not needed.</t>
  </si>
  <si>
    <t xml:space="preserve">https://www.arbeitnow.com/jobs/companies/integral-de/gtm-engineer-berlin-311461</t>
  </si>
  <si>
    <t xml:space="preserve">medium - No first-party ATS page reachable. arbeitnow rendered the full description, the 2 to 4 years line and an apply path.</t>
  </si>
  <si>
    <t xml:space="preserve">Microsoft 365 AI and Automation Specialist (m/f/d)</t>
  </si>
  <si>
    <t xml:space="preserve">BEUMER Group</t>
  </si>
  <si>
    <t xml:space="preserve">Strong English communication skills; German language skills are an advantage in an international setting  |  Germany, Dortmund</t>
  </si>
  <si>
    <t xml:space="preserve">English is the stated working language, German only an advantage</t>
  </si>
  <si>
    <t xml:space="preserve">not stated, the posting asks for salary expectations</t>
  </si>
  <si>
    <t xml:space="preserve">M365 Copilot, Copilot Studio, prompt design, Power Automate, Power Apps, Dataverse, Microsoft Graph and API integration. A direct hit on his certified Copilot Studio and Power Automate skillset plus his agentic workflow work.</t>
  </si>
  <si>
    <t xml:space="preserve">Asks for several years in digital workplace or Power Platform environments, so 3 years is the low end. Purview and Entra ID governance is new ground. On-site oriented in Dortmund. Worth noting the wider pattern: most comparable internal-enablement roles in Germany, Belgium, Spain, Portugal, Poland and Czechia hard-require the local language, so this English-first posting is the exception.</t>
  </si>
  <si>
    <t xml:space="preserve">https://jobs.smartrecruiters.com/BEUMERGroup1/744000128890468-m365-ai-automation-specialist-m-f-d-</t>
  </si>
  <si>
    <t xml:space="preserve">high - Rendered body confirmed the title, BEUMER branding, full requirements and an active I'm interested apply control.</t>
  </si>
  <si>
    <t xml:space="preserve">Full Stack Engineer - Growth &amp; Marketing</t>
  </si>
  <si>
    <t xml:space="preserve">Treatwell</t>
  </si>
  <si>
    <t xml:space="preserve">https://jobs.workable.com/view/6PL9yBjhge85dfDyAs1tZS/remote-full-stack-engineer---growth-%26-marketing-in-italy-at-treatwell</t>
  </si>
  <si>
    <t xml:space="preserve">Full Stack Engineer (Next.js / Supabase / AI-Native Workflow)</t>
  </si>
  <si>
    <t xml:space="preserve">telmi</t>
  </si>
  <si>
    <t xml:space="preserve">https://wellfound.com/jobs/4079967-full-stack-engineer-next-js-supabase-ai-native-workflow</t>
  </si>
  <si>
    <t xml:space="preserve">CRM Systems and Automation Manager</t>
  </si>
  <si>
    <t xml:space="preserve">TripleTen (Portugal req)</t>
  </si>
  <si>
    <t xml:space="preserve">Excellent written and spoken English</t>
  </si>
  <si>
    <t xml:space="preserve">30 Jul 2026</t>
  </si>
  <si>
    <t xml:space="preserve">HubSpot, Planhat, Make, Zapier, n8n, Workato, workflow automation, APIs, process mapping, CRM administration</t>
  </si>
  <si>
    <t xml:space="preserve">Portugal residence required. Manager title with 3+ years minimum, so he is at the floor. Vendor management and telephony admin are outside his scope.</t>
  </si>
  <si>
    <t xml:space="preserve">https://himalayas.app/companies/tripleten/jobs/crm-systems-automation-manager-9409947081</t>
  </si>
  <si>
    <t xml:space="preserve">medium - Himalayas rendered title, Portugal only, responsibilities, the English line and apply path.</t>
  </si>
  <si>
    <t xml:space="preserve">TripleTen (Poland req)</t>
  </si>
  <si>
    <t xml:space="preserve">HubSpot, Planhat, Make, Zapier, n8n, Workato, CRM platforms, APIs, AI tools, process design</t>
  </si>
  <si>
    <t xml:space="preserve">Poland residence required. Manager scope includes vendor management and telephony he has not owned.</t>
  </si>
  <si>
    <t xml:space="preserve">https://himalayas.app/companies/tripleten/jobs/crm-systems-automation-manager-5814909795</t>
  </si>
  <si>
    <t xml:space="preserve">medium - Himalayas rendered title, Poland only, requirements, English line and apply path.</t>
  </si>
  <si>
    <t xml:space="preserve">Claude Integration for Recruitment Automation</t>
  </si>
  <si>
    <t xml:space="preserve">Private client via Freelancer.com</t>
  </si>
  <si>
    <t xml:space="preserve">not stated  |  Remote, client location field reads New York, United Kingdom</t>
  </si>
  <si>
    <t xml:space="preserve">Minimum GBP 36 an hour, average bid GBP 37 an hour</t>
  </si>
  <si>
    <t xml:space="preserve">client account created 3 Aug 2026, bidding ends in 5 days</t>
  </si>
  <si>
    <t xml:space="preserve">Anthropic API as the core requirement, ATS and CRM integration, resume screening and parsing, scheduling automation, candidate comms automation</t>
  </si>
  <si>
    <t xml:space="preserve">The best stated rate in this batch, roughly EUR 41 an hour against his EUR 25 quote. But 206 proposals are already in, so heavy competition, and the client is new with no feedback history. No limited company required.</t>
  </si>
  <si>
    <t xml:space="preserve">https://www.freelancer.com/projects/ai-integration/claude-integration-for-recruitment</t>
  </si>
  <si>
    <t xml:space="preserve">high - Rendered body confirms the title, the min GBP 36 an hour line, 206 proposals and an open bid path.</t>
  </si>
  <si>
    <t xml:space="preserve">AI Automation Engineer / n8n and AI Agent Developer</t>
  </si>
  <si>
    <t xml:space="preserve">Synergy Effect via the n8n Community jobs board</t>
  </si>
  <si>
    <t xml:space="preserve">not stated  |  Remote, the hiring company is EU based in Lithuania</t>
  </si>
  <si>
    <t xml:space="preserve">Compensation will be discussed individually based on experience, project scope and expected workload</t>
  </si>
  <si>
    <t xml:space="preserve">7 May 2026, newest reply 22 May 2026</t>
  </si>
  <si>
    <t xml:space="preserve">n8n production automations and AI agents, workflow logic with branching, retries, fallbacks, error handling and human approval steps, JavaScript, REST APIs, webhooks, JSON, basic SQL, CRM and ERP integrations, document and email automation. The closest match in this lane to his human-in-the-loop and retry work.</t>
  </si>
  <si>
    <t xml:space="preserve">Posted May 2026 with no activity since 22 May, so confirm it is still live before investing time. An EU company invoicing an Italian Partita IVA is straightforward and no limited company is required. Apply route is email with a CV plus written answers to eight questions including expected compensation, so he should anchor at EUR 200 a day.</t>
  </si>
  <si>
    <t xml:space="preserve">https://community.n8n.io/t/hiring-ai-automation-engineer-n8n-ai-agent-developer/294904</t>
  </si>
  <si>
    <t xml:space="preserve">medium - Rendered thread body confirms the title, the company, the full requirement list, the compensation sentence and the email apply path. Age is the risk.</t>
  </si>
  <si>
    <t xml:space="preserve">Product Engineer</t>
  </si>
  <si>
    <t xml:space="preserve">Alguna</t>
  </si>
  <si>
    <t xml:space="preserve">GR, IE + 5 more (Greece, Ireland, Italy, Portugal, South Africa, Spain, United Kingdom)  |  Remote, and Italy is on the list</t>
  </si>
  <si>
    <t xml:space="preserve">27 Jul 2026</t>
  </si>
  <si>
    <t xml:space="preserve">TypeScript, Next.js, Vercel, AWS, GitHub, CI/CD. Mid-level framing with no seniority gate stated.</t>
  </si>
  <si>
    <t xml:space="preserve">Golang is in the stack list and he does not have Go. Ireland and the UK on the list are not usable for him, so he should apply on the Italy basis. No salary stated.</t>
  </si>
  <si>
    <t xml:space="preserve">https://himalayas.app/companies/alguna/jobs/product-engineer</t>
  </si>
  <si>
    <t xml:space="preserve">medium - Himalayas rendered the exact title, company, country list and an apply path. Not cross-checked against Alguna's own ATS.</t>
  </si>
  <si>
    <t xml:space="preserve">Microsoft 365 AI and Automation Specialist (Beckum req)</t>
  </si>
  <si>
    <t xml:space="preserve">BEUMER Group (Beckum)</t>
  </si>
  <si>
    <t xml:space="preserve">Strong English communication skills; German language skills are an advantage  |  Germany, Beckum</t>
  </si>
  <si>
    <t xml:space="preserve">M365 Copilot, Copilot Studio, Power Automate, Power Apps, Dataverse, ALM, Microsoft Graph and APIs. Same profile as the Dortmund req.</t>
  </si>
  <si>
    <t xml:space="preserve">The board index calls this Digital Workplace AI and Automation Specialist but the rendered posting is titled Microsoft 365, so apply expecting the M365 scope. Beckum is a small town in North Rhine-Westphalia, so relocation is implied.</t>
  </si>
  <si>
    <t xml:space="preserve">https://jobs.smartrecruiters.com/BEUMERGroup1/744000118435467-digital-workplace-ai-automation-specialist-m-w-d-</t>
  </si>
  <si>
    <t xml:space="preserve">high - Rendered body confirmed location Beckum, the full requirement list and an active apply control.</t>
  </si>
  <si>
    <t xml:space="preserve">Software Engineer</t>
  </si>
  <si>
    <t xml:space="preserve">Octocom</t>
  </si>
  <si>
    <t xml:space="preserve">This is a remote role open to candidates based in Europe (CET plus or minus 2h preferred).  |  Remote Europe. Octocom is Lithuania-based.</t>
  </si>
  <si>
    <t xml:space="preserve">English, no other language required</t>
  </si>
  <si>
    <t xml:space="preserve">EUR 60,000 to 84,000 a year</t>
  </si>
  <si>
    <t xml:space="preserve">22 Jul 2026</t>
  </si>
  <si>
    <t xml:space="preserve">Asks roughly 2 to 5 years. TypeScript, React, TanStack Router, Tailwind, tRPC, PostgreSQL, Redis, worker threads, vector store, MCP, Azure, GCP. Venice is CET so the timezone rule is satisfied exactly.</t>
  </si>
  <si>
    <t xml:space="preserve">Pay well above his target usually means a higher bar. Also involves sandboxed Python and a vector store. Application is by email with a 280-character project description, so no standard form.</t>
  </si>
  <si>
    <t xml:space="preserve">https://startup.jobs/software-engineer-octocom-ltd-8787185</t>
  </si>
  <si>
    <t xml:space="preserve">high - startup.jobs renders one posting with the full body, salary band, posted date and an apply path.</t>
  </si>
  <si>
    <t xml:space="preserve">GTM Engineer</t>
  </si>
  <si>
    <t xml:space="preserve">Growth Today via the Clay community jobs board</t>
  </si>
  <si>
    <t xml:space="preserve">Europe / North America only  |  Remote, Europe or North America</t>
  </si>
  <si>
    <t xml:space="preserve">11 Mar 2026</t>
  </si>
  <si>
    <t xml:space="preserve">Clay, AI-assisted outbound, HubSpot and Salesforce automation, end-to-end campaign build from list building through enrichment to launch</t>
  </si>
  <si>
    <t xml:space="preserve">Posted March 2026, so treat as stale until confirmed. Asks for hands-on Clay plus 2+ years running outbound or SDR and AE experience, and his outbound work is engineering-side rather than quota-carrying. The basis is not stated, so confirm before assuming Partita IVA invoicing. Apply route is a Notion application page.</t>
  </si>
  <si>
    <t xml:space="preserve">https://community.clay.com/x/full-time-jobs/9is5k0h0y5pt/hiring-gtm-engineer-at-growth-today-for-remote-eu</t>
  </si>
  <si>
    <t xml:space="preserve">medium - Rendered post body confirms the role, the Europe / North America only line and a linked Notion application page. Age of the post is the main risk.</t>
  </si>
  <si>
    <t xml:space="preserve">Full Stack Developer</t>
  </si>
  <si>
    <t xml:space="preserve">Talent Sam</t>
  </si>
  <si>
    <t xml:space="preserve">Open to candidates from all countries.  |  Remote, worldwide</t>
  </si>
  <si>
    <t xml:space="preserve">Excellent verbal and written communication skills in English</t>
  </si>
  <si>
    <t xml:space="preserve">26 Jul 2026</t>
  </si>
  <si>
    <t xml:space="preserve">JavaScript, React, Node.js, PHP, REST APIs, PostgreSQL, MySQL, MongoDB, Git, CI/CD. Explicitly tagged mid-level, which fits his 3 years.</t>
  </si>
  <si>
    <t xml:space="preserve">Talent Sam is a staffing intermediary, so the end client and actual role are unspecified. The stack list is a catch-all that also includes Java, .NET and Python. No salary. Treat as a pipeline entry rather than a target.</t>
  </si>
  <si>
    <t xml:space="preserve">https://himalayas.app/companies/talent-sam/jobs/full-stack-developer</t>
  </si>
  <si>
    <t xml:space="preserve">medium - Himalayas rendered the exact title, company, mid-level tag, English requirement and an apply path.</t>
  </si>
  <si>
    <t xml:space="preserve">Product Engineer (m/f/d)</t>
  </si>
  <si>
    <t xml:space="preserve">Stackgini</t>
  </si>
  <si>
    <t xml:space="preserve">not stated  |  Berlin, Germany</t>
  </si>
  <si>
    <t xml:space="preserve">Fluent English. German is a real plus because many customer calls run in German.</t>
  </si>
  <si>
    <t xml:space="preserve">Asks 3 to 6 years full-stack, so his 3 years is at the floor. TypeScript with React and Next.js, PostgreSQL, Azure OpenAI, AWS Bedrock. The AI layer maps to his LLM API work.</t>
  </si>
  <si>
    <t xml:space="preserve">Kotlin with Spring Boot and Python are a real part of the stack and he has neither. German is a stated strong plus for customer calls, which narrows the field in practice.</t>
  </si>
  <si>
    <t xml:space="preserve">https://berlinstartupjobs.com/engineering/product-engineer-m-f-d-stackgini-gmbh/</t>
  </si>
  <si>
    <t xml:space="preserve">medium - berlinstartupjobs rendered the full posting including the verbatim language line and an apply link to join.com. The join.com page was not separately opened.</t>
  </si>
  <si>
    <t xml:space="preserve">AI Automations Product Engineer</t>
  </si>
  <si>
    <t xml:space="preserve">NineTwoThree AI Studio</t>
  </si>
  <si>
    <t xml:space="preserve">https://jobs.workable.com/view/k6iUWx4gVmgMJko3nWuvCY/remote-ai-automations-product-engineer-in-amsterdam-at-ninetwothree-ai-studio</t>
  </si>
  <si>
    <t xml:space="preserve">TripleTen (Spain req)</t>
  </si>
  <si>
    <t xml:space="preserve">Spain only  |  Spain, remote</t>
  </si>
  <si>
    <t xml:space="preserve">HubSpot, Planhat, Make, Zapier, n8n, Workato, API support, business process design, SaaS management</t>
  </si>
  <si>
    <t xml:space="preserve">Spain residence required. Same role as the Portugal and Poland variants. No Spanish stated, but a Spain-based team may expect it informally.</t>
  </si>
  <si>
    <t xml:space="preserve">https://himalayas.app/companies/tripleten/jobs/crm-systems-automation-manager</t>
  </si>
  <si>
    <t xml:space="preserve">medium - Himalayas rendered title, Spain only, responsibilities and apply path.</t>
  </si>
  <si>
    <t xml:space="preserve">Full Stack Developer (Node.js + React)</t>
  </si>
  <si>
    <t xml:space="preserve">Kiss My Apps</t>
  </si>
  <si>
    <t xml:space="preserve">Fully remote from anywhere in the free world, with optional access to the Kyiv or Warsaw offices  |  Fully remote worldwide, optional offices in Kyiv and Warsaw</t>
  </si>
  <si>
    <t xml:space="preserve">The posting body is written in Ukrainian, so Ukrainian is very likely expected day to day. Treat as a language blocker until confirmed.</t>
  </si>
  <si>
    <t xml:space="preserve">about 31 Jul 2026</t>
  </si>
  <si>
    <t xml:space="preserve">TypeScript, Node.js, NestJS, REST, JWT, PostgreSQL, React, Next.js, Docker, Redis. Asks a minimum of 2.5 years commercial experience, the best experience-bar match in this batch.</t>
  </si>
  <si>
    <t xml:space="preserve">Ukrainian-language posting. Drizzle ORM and BullMQ are unfamiliar. The apply path is an Ashby form that was not separately confirmed.</t>
  </si>
  <si>
    <t xml:space="preserve">https://euremotejobs.com/job/full-stack-developer-node-js-react-5/</t>
  </si>
  <si>
    <t xml:space="preserve">medium - euremotejobs rendered the exact title, company, the full Ukrainian description, the 2.5-year bar and an Ashby apply link.</t>
  </si>
  <si>
    <t xml:space="preserve">GTM Automation Engineer, Outbound Marketing</t>
  </si>
  <si>
    <t xml:space="preserve">Wing Assistant (Croatia req)</t>
  </si>
  <si>
    <t xml:space="preserve">Croatia only  |  Croatia, remote</t>
  </si>
  <si>
    <t xml:space="preserve">Ability to write clean, concise outbound copy in English</t>
  </si>
  <si>
    <t xml:space="preserve">USD 3,500 to 6,500 a month</t>
  </si>
  <si>
    <t xml:space="preserve">4 Jul 2026</t>
  </si>
  <si>
    <t xml:space="preserve">Clay, Apollo, Instantly, APIs, webhooks, JavaScript, web scraping, HubSpot, Salesforce, Pipedrive, Metabase, Retool</t>
  </si>
  <si>
    <t xml:space="preserve">Duplicate of the Poland req, apply to one country only. Same expert-Clay and deliverability depth expectations.</t>
  </si>
  <si>
    <t xml:space="preserve">https://himalayas.app/companies/wing-assistant/jobs/gtm-automation-engineer-outbound-marketing-2168134274</t>
  </si>
  <si>
    <t xml:space="preserve">medium - Himalayas rendered title, Croatia only, pay band and tool list.</t>
  </si>
  <si>
    <t xml:space="preserve">Senior Typescript Engineer - come build AI agents with us</t>
  </si>
  <si>
    <t xml:space="preserve">Layers AI</t>
  </si>
  <si>
    <t xml:space="preserve">https://wellfound.com/jobs/4245997-senior-typescript-engineer-come-build-ai-agents-with-us-remote</t>
  </si>
  <si>
    <t xml:space="preserve">Forward-Deployed CRM Architect</t>
  </si>
  <si>
    <t xml:space="preserve">GTM Base</t>
  </si>
  <si>
    <t xml:space="preserve">https://join.com/companies/gtmbaseio/16345856-forward-deployed-crm-architect</t>
  </si>
  <si>
    <t xml:space="preserve">CRM and Data Operations Analyst</t>
  </si>
  <si>
    <t xml:space="preserve">Find.co</t>
  </si>
  <si>
    <t xml:space="preserve">19 Jul 2026, deadline 17 Sep 2026</t>
  </si>
  <si>
    <t xml:space="preserve">Zapier, Make or similar automation platforms, CRM administration, data operations, reporting and dashboards. Experience band 1 to 3 years fits him well.</t>
  </si>
  <si>
    <t xml:space="preserve">Asks for Salesforce Platform Administrator certification and Flow Builder, which he does not have. Worldwide eligibility means heavy competition.</t>
  </si>
  <si>
    <t xml:space="preserve">https://himalayas.app/companies/find-co/jobs/crm-data-operations-analyst</t>
  </si>
  <si>
    <t xml:space="preserve">medium - Himalayas rendered title, Open to candidates from all countries, the 1 to 3 years line, skills and apply path.</t>
  </si>
  <si>
    <t xml:space="preserve">Full-Stack Developer</t>
  </si>
  <si>
    <t xml:space="preserve">Kodify Media Group</t>
  </si>
  <si>
    <t xml:space="preserve">From wherever you want, the position is fully remote in the EU.  |  Fully remote within the EU, so Italy qualifies with no sponsorship</t>
  </si>
  <si>
    <t xml:space="preserve">29 May 2026</t>
  </si>
  <si>
    <t xml:space="preserve">React, Node.js, JavaScript, TypeScript, Docker, AWS, with Next.js, Express, Fastify, GraphQL and Redis as nice-to-haves. Asks minimum 3 years, matching his level.</t>
  </si>
  <si>
    <t xml:space="preserve">Oldest lead in this batch so it may have closed. MongoDB and NoSQL-first rather than his Postgres background. Kodify operates adult-entertainment media brands, which is a fit question rather than a skills question.</t>
  </si>
  <si>
    <t xml:space="preserve">https://himalayas.app/companies/kodify-media-group/jobs/full-stack-developer</t>
  </si>
  <si>
    <t xml:space="preserve">medium - Himalayas rendered the exact title, the fully remote in the EU sentence, the 3-year bar and an apply path. Kodify's own careers page could not be fetched.</t>
  </si>
  <si>
    <t xml:space="preserve">It's Prodigy</t>
  </si>
  <si>
    <t xml:space="preserve">Italy only  |  Italy</t>
  </si>
  <si>
    <t xml:space="preserve">not stated in the posting, which is written in English</t>
  </si>
  <si>
    <t xml:space="preserve">5 Jul 2026</t>
  </si>
  <si>
    <t xml:space="preserve">Node.js with Express and NestJS, React, Next.js, plus LLM and chatbot AI development. The AI-application angle lines up with his OpenAI and Anthropic work.</t>
  </si>
  <si>
    <t xml:space="preserve">Listed as contractor with no rate. Framed as senior. .NET, Java and Python also appear in the stack. An Italian consultancy, so client-facing work may surface an Italian requirement even though the posting does not state one.</t>
  </si>
  <si>
    <t xml:space="preserve">https://himalayas.app/companies/it-s-prodigy/jobs/full-stack-developer</t>
  </si>
  <si>
    <t xml:space="preserve">medium - Himalayas rendered the exact title, Italy only, contractor type and an apply path.</t>
  </si>
  <si>
    <t xml:space="preserve">Front-End WordPress Developer</t>
  </si>
  <si>
    <t xml:space="preserve">Yoko Co</t>
  </si>
  <si>
    <t xml:space="preserve">Anywhere in the World  |  Remote, worldwide</t>
  </si>
  <si>
    <t xml:space="preserve">about 25 Jul 2026</t>
  </si>
  <si>
    <t xml:space="preserve">HTML, CSS, JavaScript, React and component-based frameworks, Git and GitHub, translating Figma designs. Claude Code, Copilot and Codex are named in the posting.</t>
  </si>
  <si>
    <t xml:space="preserve">WordPress and Gutenberg block themes are the core of the job and he has no WordPress on his CV. Agency client work rather than product engineering. No salary stated.</t>
  </si>
  <si>
    <t xml:space="preserve">https://weworkremotely.com/remote-jobs/yoko-co-front-end-wordpress-developer</t>
  </si>
  <si>
    <t xml:space="preserve">medium - WeWorkRemotely rendered the exact title, company, Anywhere in the World and the apply URL. The Yoko Co careers page returned a permission error.</t>
  </si>
  <si>
    <t xml:space="preserve">Wing Assistant</t>
  </si>
  <si>
    <t xml:space="preserve">Clay at expert level, Apollo, Instantly, APIs and webhooks, JavaScript, web scraping and parsing, email verification</t>
  </si>
  <si>
    <t xml:space="preserve">Poland residence required. Pay well above his target means a higher bar. Wants expert Clay and DNS, DMARC, DKIM, SPF deliverability depth. Python listed too.</t>
  </si>
  <si>
    <t xml:space="preserve">https://himalayas.app/companies/wing-assistant/jobs/gtm-automation-engineer-outbound-marketing-3436928092</t>
  </si>
  <si>
    <t xml:space="preserve">medium - No first-party ATS link exists, Himalayas is the application path. Rendered page showed title, Poland only, pay band, tool list and apply route.</t>
  </si>
  <si>
    <t xml:space="preserve">Senior Software Engineer</t>
  </si>
  <si>
    <t xml:space="preserve">Stellar AI</t>
  </si>
  <si>
    <t xml:space="preserve">https://weworkremotely.com/remote-jobs/stellar-ai-senior-software-engineer</t>
  </si>
  <si>
    <t xml:space="preserve">Lleverage.ai</t>
  </si>
  <si>
    <t xml:space="preserve">3</t>
  </si>
  <si>
    <t xml:space="preserve">https://lleverage.recruitee.com/o/lleverage-tem-4</t>
  </si>
  <si>
    <t xml:space="preserve">BIP, Business Integration Partners</t>
  </si>
  <si>
    <t xml:space="preserve">Indeed location field: Remote in Rome, Latium, Italy  |  Remote in Rome, Latium, Italy</t>
  </si>
  <si>
    <t xml:space="preserve">needs checking. Many Italian-market postings are Italian-language even when the title is in English.</t>
  </si>
  <si>
    <t xml:space="preserve">not stated on the listing</t>
  </si>
  <si>
    <t xml:space="preserve">posted within the last 14 days</t>
  </si>
  <si>
    <t xml:space="preserve">Junior banding AND remote-in-Italy, which is the rarest combination in the Italian market. BIP is a large Italian consultancy.</t>
  </si>
  <si>
    <t xml:space="preserve">Not individually opened. Indeed apply flows generally need him rather than automation.</t>
  </si>
  <si>
    <t xml:space="preserve">https://it.indeed.com/viewjob?jk=501ee57f9d773ce8</t>
  </si>
  <si>
    <t xml:space="preserve">medium - Indeed Italy search listing, confirmed present and dated in a real browser on 6 Aug 2026. The posting body was NOT opened individually, so eligibility, language and pay are unverified.</t>
  </si>
  <si>
    <t xml:space="preserve">Junior AI Engineer, Google</t>
  </si>
  <si>
    <t xml:space="preserve">BIP, Business Integration Partners (Google practice)</t>
  </si>
  <si>
    <t xml:space="preserve">Indeed location field: Remote in Milan, Lombardy, Italy  |  Remote in Milan, Lombardy, Italy</t>
  </si>
  <si>
    <t xml:space="preserve">Junior, remote-in-Italy, and scoped to the Google Cloud practice.</t>
  </si>
  <si>
    <t xml:space="preserve">https://it.indeed.com/viewjob?jk=207dec180923643c</t>
  </si>
  <si>
    <t xml:space="preserve">SR AUTOMATION ENGINEER</t>
  </si>
  <si>
    <t xml:space="preserve">Reverse (automation req)</t>
  </si>
  <si>
    <t xml:space="preserve">Indeed location field: Remote in Lombardy, Italy  |  Remote in Lombardy, Italy</t>
  </si>
  <si>
    <t xml:space="preserve">Remote within Lombardy. Note Reverse is the same recruiter behind the Italian-language Deployment Strategist role already logged as a language loss, so ask about working language in the first message.</t>
  </si>
  <si>
    <t xml:space="preserve">https://it.indeed.com/viewjob?jk=f6b0bd5b9d306e34</t>
  </si>
  <si>
    <t xml:space="preserve">JUNIOR AUTOMATION ENGINEER</t>
  </si>
  <si>
    <t xml:space="preserve">Umana S.p.A.</t>
  </si>
  <si>
    <t xml:space="preserve">Indeed location field: Italy  |  Italy</t>
  </si>
  <si>
    <t xml:space="preserve">Junior banding. Umana is a staffing agency so the end employer is unnamed.</t>
  </si>
  <si>
    <t xml:space="preserve">https://it.indeed.com/viewjob?jk=b267bab964b6de1c</t>
  </si>
  <si>
    <t xml:space="preserve">Embedded AI Engineer (IR-540)</t>
  </si>
  <si>
    <t xml:space="preserve">Intellectsoft</t>
  </si>
  <si>
    <t xml:space="preserve">Argentina, Brazil, Colombia, Poland, Portugal, Spain  |  Remote, the EU slice is Poland, Portugal and Spain</t>
  </si>
  <si>
    <t xml:space="preserve">not stated, English</t>
  </si>
  <si>
    <t xml:space="preserve">2 Aug 2026</t>
  </si>
  <si>
    <t xml:space="preserve">Deep specialisation in the Claude and Anthropic ecosystem, multi-agent architectures, prompt engineering, LLM orchestration, workflow design and business-process mapping. Very close to what he actually does.</t>
  </si>
  <si>
    <t xml:space="preserve">Italy is not in the country list, so he would need residence in Poland, Portugal or Spain. Tagged senior. Intellectsoft is an outsourcing agency, so the end client is unnamed.</t>
  </si>
  <si>
    <t xml:space="preserve">https://euremotejobs.com/job/embedded-ai-engineer-ir-540/</t>
  </si>
  <si>
    <t xml:space="preserve">medium - Rendered euremotejobs body shows title, company, the six-country line, the stack and an Active status, with the Workable apply link. The Workable page itself is JavaScript-only.</t>
  </si>
  <si>
    <t xml:space="preserve">Automation Developer (Power Platform, Copilot Studio)</t>
  </si>
  <si>
    <t xml:space="preserve">Wanstor</t>
  </si>
  <si>
    <t xml:space="preserve">AU, CA + 8 more (Australia, Canada, France, Germany, India, Ireland, Netherlands, Spain, United Kingdom, United States)  |  Remote, multi-country</t>
  </si>
  <si>
    <t xml:space="preserve">14 Jul 2026, deadline 12 Sep 2026</t>
  </si>
  <si>
    <t xml:space="preserve">Microsoft Copilot Studio and Power Automate, both of which he is certified in, plus Power Platform, Microsoft 365, APIs, custom connectors, SharePoint, Teams</t>
  </si>
  <si>
    <t xml:space="preserve">France, Germany, Netherlands and Spain are the clean EU options. Ireland is a sponsorship route, UK and US unusable. Wanstor is a London MSP so the centre of gravity is UK. Dataverse, DLP and ALM depth asked.</t>
  </si>
  <si>
    <t xml:space="preserve">https://himalayas.app/companies/wanstor/jobs/automation-developer-power-platform-copilot-studio</t>
  </si>
  <si>
    <t xml:space="preserve">medium - Himalayas rendered title, the expanded eligible-country list, skills and apply path.</t>
  </si>
  <si>
    <t xml:space="preserve">Staff IT Engineer for Automation and AI Transformation</t>
  </si>
  <si>
    <t xml:space="preserve">SoSafe</t>
  </si>
  <si>
    <t xml:space="preserve">Europe  |  Remote Europe, EMEA time zones. A Himalayas mirror lists Ireland and Portugal, so confirm the country list.</t>
  </si>
  <si>
    <t xml:space="preserve">about 16 Jul 2026</t>
  </si>
  <si>
    <t xml:space="preserve">n8n, Zapier, workflow orchestration, agentic AI, GitHub Actions</t>
  </si>
  <si>
    <t xml:space="preserve">Staff or Principal level is the biggest seniority stretch here. Infrastructure-as-code, CI/CD and SRE background asked for. If the country list is really Ireland-based that is a sponsorship application.</t>
  </si>
  <si>
    <t xml:space="preserve">https://euremotejobs.com/job/staff-it-engineer-for-automation-ai-transformation-remote/</t>
  </si>
  <si>
    <t xml:space="preserve">medium - euremotejobs rendered the title, Europe location, the full requirements body and an Ashby apply URL. The Ashby page itself was not confirmed.</t>
  </si>
  <si>
    <t xml:space="preserve">Full Stack Laravel / React Developer</t>
  </si>
  <si>
    <t xml:space="preserve">Gorin Systems</t>
  </si>
  <si>
    <t xml:space="preserve">Fluent English, written and verbal</t>
  </si>
  <si>
    <t xml:space="preserve">6 Aug 2026</t>
  </si>
  <si>
    <t xml:space="preserve">Laravel, PHP, React, JavaScript, CSS, MySQL, Git. Asks 3 years minimum, exactly his level, and the closest single match to his FlowSpace Laravel plus React work.</t>
  </si>
  <si>
    <t xml:space="preserve">Listed as Part Time, so it will not clear a full-time target on its own. No rate stated. Small unknown employer, so verify contract and payment terms.</t>
  </si>
  <si>
    <t xml:space="preserve">https://himalayas.app/companies/gorin-systems/jobs/full-stack-laravel-react-developer-9044192559</t>
  </si>
  <si>
    <t xml:space="preserve">medium - Himalayas rendered the exact title, 3-year bar, Laravel and React requirements and an apply path on the day it went up.</t>
  </si>
  <si>
    <t xml:space="preserve">Autopilot</t>
  </si>
  <si>
    <t xml:space="preserve">USD 60,000 to 140,000 a year</t>
  </si>
  <si>
    <t xml:space="preserve">24 Jun 2026</t>
  </si>
  <si>
    <t xml:space="preserve">Node.js, React, TypeScript, PostgreSQL, tRPC, OpenAPI, API design. Product-engineer framing matches how he actually works.</t>
  </si>
  <si>
    <t xml:space="preserve">Asks 5 years minimum versus his 3. Very wide salary band with no location adjustment stated. Observability expectations lean into ops depth he lacks.</t>
  </si>
  <si>
    <t xml:space="preserve">https://himalayas.app/companies/autopilot-is/jobs/product-engineer</t>
  </si>
  <si>
    <t xml:space="preserve">medium - Himalayas rendered the exact title, company, salary band, 5-year bar and an apply path.</t>
  </si>
  <si>
    <t xml:space="preserve">Full Stack Developer (AI-First)</t>
  </si>
  <si>
    <t xml:space="preserve">Full Circle</t>
  </si>
  <si>
    <t xml:space="preserve">Open to candidates from all countries.  |  Remote worldwide, but the posting says Remote, CST</t>
  </si>
  <si>
    <t xml:space="preserve">Competitive salary based on experience</t>
  </si>
  <si>
    <t xml:space="preserve">14 Jun 2026, deadline 13 Aug 2026</t>
  </si>
  <si>
    <t xml:space="preserve">React, Next.js, TypeScript, Node.js, APIs, databases, plus Claude Code, OpenAI, Anthropic and Gemini APIs and RAG. Mid-level framing and the strongest AI-tooling overlap in this batch.</t>
  </si>
  <si>
    <t xml:space="preserve">Remote, CST means US Central hours from Italy. Python appears in the stack. Closes 13 Aug, so about a week away. No numeric salary.</t>
  </si>
  <si>
    <t xml:space="preserve">https://himalayas.app/companies/full-circle/jobs/full-stack-developer-ai-first-2901065681</t>
  </si>
  <si>
    <t xml:space="preserve">medium - Himalayas rendered the exact title, company, mid-level tag, AI stack and an apply path.</t>
  </si>
  <si>
    <t xml:space="preserve">GTM Engineer - Founding Partner (m/f/x)</t>
  </si>
  <si>
    <t xml:space="preserve">Oryn Group</t>
  </si>
  <si>
    <t xml:space="preserve">Remote (Germany)  |  Germany, remote</t>
  </si>
  <si>
    <t xml:space="preserve">28 Apr 2026</t>
  </si>
  <si>
    <t xml:space="preserve">Clay, Apollo, HubSpot at tool depth, Python, JavaScript, outbound systems and pipeline logic</t>
  </si>
  <si>
    <t xml:space="preserve">Framed as a co-founding partnership, so may be equity-weighted or below his floor. Agency delivery for multiple clients. join.com sign-in wall.</t>
  </si>
  <si>
    <t xml:space="preserve">https://join.com/companies/oryn-groupcom/16512536-gtm-engineer-founding-partner-m-f-x</t>
  </si>
  <si>
    <t xml:space="preserve">high - Rendered join.com body showed title, Remote (Germany), tool requirements and Apply now.</t>
  </si>
  <si>
    <t xml:space="preserve">Automation and Tech Specialist (m/w/d)</t>
  </si>
  <si>
    <t xml:space="preserve">Lippe Personal GmbH</t>
  </si>
  <si>
    <t xml:space="preserve">Germany only  |  Dusseldorf, Germany, on site with some flexibility</t>
  </si>
  <si>
    <t xml:space="preserve">not stated, but the (m/w/d) title and a DACH client base point to German being expected in practice</t>
  </si>
  <si>
    <t xml:space="preserve">EUR 48,000 to 58,000 a year</t>
  </si>
  <si>
    <t xml:space="preserve">13 Jul 2026</t>
  </si>
  <si>
    <t xml:space="preserve">Zapier, Make, n8n, CRM systems, Google Sheets, email automation tooling, AI tools</t>
  </si>
  <si>
    <t xml:space="preserve">Closest tool-for-tool match to his n8n and Make depth of anything in its lane, and the pay is above his band. But it needs a move to Dusseldorf and German is a real risk. A recruiting services business rather than a SaaS product.</t>
  </si>
  <si>
    <t xml:space="preserve">https://himalayas.app/companies/lippe-personal-gmbh/jobs/automation-tech-specialist-m-w-d</t>
  </si>
  <si>
    <t xml:space="preserve">medium - Himalayas rendered the body with the salary, the Germany-only location line and the full tool list. The company's own posting could not be located.</t>
  </si>
  <si>
    <t xml:space="preserve">Ex Technical Founder (Product Engineer)</t>
  </si>
  <si>
    <t xml:space="preserve">Cogram</t>
  </si>
  <si>
    <t xml:space="preserve">Berlin, BE, DE / Remote  |  Remote, CET plus or minus 3 hours, so Venice qualifies</t>
  </si>
  <si>
    <t xml:space="preserve">EUR 70K to 130K plus 0.10% to 0.50% equity</t>
  </si>
  <si>
    <t xml:space="preserve">React, TypeScript, Postgres, product-owning generalist framing. Asks 3+ years, which is his number. The posting states US citizenship and visa are not required.</t>
  </si>
  <si>
    <t xml:space="preserve">Python with FastAPI is the backend, and Terraform and Kubernetes on AWS and Azure are named. The framing wants a former technical founder. B2B SaaS for architecture, engineering and construction.</t>
  </si>
  <si>
    <t xml:space="preserve">https://www.ycombinator.com/companies/cogram/jobs/LDTrViN-ex-technical-founder-product-engineer</t>
  </si>
  <si>
    <t xml:space="preserve">high - Rendered YC job page shows the single posting, salary band, 3+ years, stack and a live apply path.</t>
  </si>
  <si>
    <t xml:space="preserve">Full Stack Software Engineer (TypeScript/React)</t>
  </si>
  <si>
    <t xml:space="preserve">OneImaging</t>
  </si>
  <si>
    <t xml:space="preserve">AR, AU + 34 more, and the country list includes Italy, France, Germany, Netherlands, Spain, Poland and Romania  |  Remote, multi-country including Italy</t>
  </si>
  <si>
    <t xml:space="preserve">USD 120,000 to 180,000 a year</t>
  </si>
  <si>
    <t xml:space="preserve">TypeScript, JavaScript, React, Next.js, Node.js, Express, PostgreSQL, REST APIs, Docker, Jest, Cypress. Very close to his day-to-day stack.</t>
  </si>
  <si>
    <t xml:space="preserve">Asks 4+ years, or 6+ without a degree, and he has 3 years and no CS degree. MongoDB also in the stack. US healthcare company so expect US-hours overlap, and the pay band is US-market.</t>
  </si>
  <si>
    <t xml:space="preserve">https://himalayas.app/companies/oneimaging/jobs/full-stack-software-engineer-typescript-react</t>
  </si>
  <si>
    <t xml:space="preserve">medium - Himalayas rendered the exact title, salary band, experience bar and an apply path.</t>
  </si>
  <si>
    <t xml:space="preserve">Solutions Engineer</t>
  </si>
  <si>
    <t xml:space="preserve">Sana Labs</t>
  </si>
  <si>
    <t xml:space="preserve">Stockholm (with access to NYC and London offices)  |  Sweden, Stockholm</t>
  </si>
  <si>
    <t xml:space="preserve">not stated, competitive base plus a transparent options program</t>
  </si>
  <si>
    <t xml:space="preserve">Forward-deployed work on state-of-the-art LLMs and AI agents. Client-facing technical delivery on top of LLM products.</t>
  </si>
  <si>
    <t xml:space="preserve">Stockholm-based, so relocation. No years figure and no specific stack published, so the bar is unreadable from the posting. Apply path is a Typeform, not an ATS.</t>
  </si>
  <si>
    <t xml:space="preserve">https://sanalabs.com/careers/solutions-engineer</t>
  </si>
  <si>
    <t xml:space="preserve">high - Rendered company careers page shows the single role, the Stockholm line and a live Apply now link.</t>
  </si>
  <si>
    <t xml:space="preserve">Junior AI Engineer (1 year temp)</t>
  </si>
  <si>
    <t xml:space="preserve">Entrust</t>
  </si>
  <si>
    <t xml:space="preserve">Barcelona, Spain  |  Spain, Barcelona, 3 days onsite</t>
  </si>
  <si>
    <t xml:space="preserve">No Spanish requirement stated</t>
  </si>
  <si>
    <t xml:space="preserve">Anthropic SDK, Claude Code, GitHub Copilot, AI agent frameworks, Docker, Git. Two headcount open.</t>
  </si>
  <si>
    <t xml:space="preserve">Junior and recent-graduate framing sits below his 3 years. Python and/or Go is the language requirement and neither is his. Fixed one-year term. Barcelona hybrid means relocating.</t>
  </si>
  <si>
    <t xml:space="preserve">https://startup.jobs/junior-ai-engineer-1-year-temp-entrust-8905447</t>
  </si>
  <si>
    <t xml:space="preserve">medium - Rendered startup.jobs body shows the title, Barcelona location, 1-year term, stack and posted date. The employer's own posting URL was not exposed.</t>
  </si>
  <si>
    <t xml:space="preserve">Automation Specialist (Make.com, Notion, Ad Operations)</t>
  </si>
  <si>
    <t xml:space="preserve">KultreMedia</t>
  </si>
  <si>
    <t xml:space="preserve">Australia, Canada, Denmark, Finland, Germany, Ireland, Netherlands, New Zealand, Norway, Sweden, United Kingdom, United States  |  Remote, multi-country</t>
  </si>
  <si>
    <t xml:space="preserve">not stated, monthly retainer or project-based</t>
  </si>
  <si>
    <t xml:space="preserve">21 Jun 2026, deadline 20 Aug 2026</t>
  </si>
  <si>
    <t xml:space="preserve">Make.com, Zapier, Airtable, Notion, ClickUp, Slack, Google Workspace, workflow automation, client onboarding</t>
  </si>
  <si>
    <t xml:space="preserve">Germany, Netherlands, Finland and Sweden are the clean EU options. Denmark and Ireland are sponsorship routes. Retainer basis so no salary security. Ad operations is outside his experience. Closes 20 Aug.</t>
  </si>
  <si>
    <t xml:space="preserve">https://himalayas.app/companies/kultremedia-llc/jobs/km-automation-specialist-make-com-notion-ad-operations</t>
  </si>
  <si>
    <t xml:space="preserve">medium - Himalayas rendered title, the full eligible-country list, the 2+ years requirement, skills and apply path.</t>
  </si>
  <si>
    <t xml:space="preserve">AI Operator</t>
  </si>
  <si>
    <t xml:space="preserve">saas.group</t>
  </si>
  <si>
    <t xml:space="preserve">Australia, Canada, Germany, India, United Kingdom, United States  |  Remote, Germany is the EU-eligible entry</t>
  </si>
  <si>
    <t xml:space="preserve">Fluent English is a must</t>
  </si>
  <si>
    <t xml:space="preserve">n8n, Claude, MCP, agent development, workflow design, automation, process mapping, prompt engineering, AI orchestration</t>
  </si>
  <si>
    <t xml:space="preserve">Germany is the only usable country. Asks 4+ years against his 3. Heavy change-management and internal-coaching component across portfolio brands. Git and terminal fluency expected.</t>
  </si>
  <si>
    <t xml:space="preserve">https://himalayas.app/companies/saas-group/jobs/ai-operator</t>
  </si>
  <si>
    <t xml:space="preserve">medium - Himalayas rendered title, eligible countries, skills, English requirement, deadline and apply path.</t>
  </si>
  <si>
    <t xml:space="preserve">Freelancer GTM Engineer / AI Automation Specialist (n8n and Clay)</t>
  </si>
  <si>
    <t xml:space="preserve">Sophie.camp</t>
  </si>
  <si>
    <t xml:space="preserve">Germany only  |  Germany</t>
  </si>
  <si>
    <t xml:space="preserve">Not listed as a requirement, but parts of the posting body are in German</t>
  </si>
  <si>
    <t xml:space="preserve">EUR 10,000 fixed for the project setup, June to Nov 2026, plus EUR 1,000 to 5,000 for tools, ads and API costs</t>
  </si>
  <si>
    <t xml:space="preserve">n8n, Clay, Claude, GPT, Pingen API, CRM integration, data governance. Closest tool match in the batch to his n8n depth.</t>
  </si>
  <si>
    <t xml:space="preserve">Project window already mid-flight. A fixed EUR 10,000 over six months is below EUR 200/day. German body text suggests working German in practice.</t>
  </si>
  <si>
    <t xml:space="preserve">https://himalayas.app/companies/sophie-camp/jobs/freelancer-gtm-engineer-ai-automation-specialist-n8n-clay</t>
  </si>
  <si>
    <t xml:space="preserve">medium - Himalayas rendered title, Germany only, the German-language fee structure and the tool list.</t>
  </si>
  <si>
    <t xml:space="preserve">Technical Customer Support Specialist</t>
  </si>
  <si>
    <t xml:space="preserve">Qase</t>
  </si>
  <si>
    <t xml:space="preserve">Anywhere in the World  |  Fully remote worldwide, no geographic restriction stated</t>
  </si>
  <si>
    <t xml:space="preserve">C1-level written and spoken English proficiency</t>
  </si>
  <si>
    <t xml:space="preserve">USD 10,000 to 25,000 a year, below his target</t>
  </si>
  <si>
    <t xml:space="preserve">about 11 Jul 2026, apply before 9 Aug 2026</t>
  </si>
  <si>
    <t xml:space="preserve">2+ years B2B SaaS L1 and L2 support, root cause troubleshooting, Jira, Notion, Intercom and Canny. REST API familiarity and browser devtools listed as nice to have.</t>
  </si>
  <si>
    <t xml:space="preserve">Pay tops out around USD 25,000, clearly under target. The application window closes 9 August 2026, so this one is urgent. Full detail sits behind a WeWorkRemotely account.</t>
  </si>
  <si>
    <t xml:space="preserve">https://weworkremotely.com/remote-jobs/qase-technical-customer-support-specialist</t>
  </si>
  <si>
    <t xml:space="preserve">high - WeWorkRemotely rendered the title, the Anywhere in the World line, the salary band, requirements and an apply path.</t>
  </si>
  <si>
    <t xml:space="preserve">Cocoon</t>
  </si>
  <si>
    <t xml:space="preserve">USD 170,000 a year</t>
  </si>
  <si>
    <t xml:space="preserve">22 Jun 2026</t>
  </si>
  <si>
    <t xml:space="preserve">TypeScript, React, Next.js, Node.js, Express, GraphQL, Postgres, AWS. Almost a one-to-one match with his stack.</t>
  </si>
  <si>
    <t xml:space="preserve">Framed as an experienced engineer leading large-scope projects, above his 3 years. A US company, so expect US hours and possible US-only payroll despite the all-countries flag. Verify eligibility first.</t>
  </si>
  <si>
    <t xml:space="preserve">https://himalayas.app/companies/cocoon/jobs/software-engineer</t>
  </si>
  <si>
    <t xml:space="preserve">medium - Himalayas rendered the exact title, company, salary and an apply path. The all-countries claim is the aggregator's field.</t>
  </si>
  <si>
    <t xml:space="preserve">NedGraphics (Dorado Software Group)</t>
  </si>
  <si>
    <t xml:space="preserve">Spain - Remote  |  Spain, remote</t>
  </si>
  <si>
    <t xml:space="preserve">29 Jul 2026</t>
  </si>
  <si>
    <t xml:space="preserve">HubSpot, and automation platforms named as Zapier, Make, n8n or HubSpot Breeze, plus AI tools. Almost a list of his exact tools.</t>
  </si>
  <si>
    <t xml:space="preserve">Spain-only, so he would need to be resident there. Sister postings exist for Portugal, Romania and Poland, listed separately below.</t>
  </si>
  <si>
    <t xml:space="preserve">https://doradosoftwaregroup.pinpointhq.com/en/postings/2b690194-5f6f-4217-8c9d-37e560e449b0</t>
  </si>
  <si>
    <t xml:space="preserve">low - pinpointhq.com would not open in this session. Title, scope, tool list and date came from a rendered aggregator page.</t>
  </si>
  <si>
    <t xml:space="preserve">GTM Engineer - AI Systems</t>
  </si>
  <si>
    <t xml:space="preserve">Huzzle</t>
  </si>
  <si>
    <t xml:space="preserve">Salaries vary by client and candidate preference</t>
  </si>
  <si>
    <t xml:space="preserve">10 Jul 2026, deadline 8 Sep 2026</t>
  </si>
  <si>
    <t xml:space="preserve">Clay, SmartLead, HeyReach, Claude, n8n, Zapier, APIs, CRM systems, workflow automation. n8n plus Claude plus CRM is his exact centre of gravity.</t>
  </si>
  <si>
    <t xml:space="preserve">Requires US timezone hours with Pacific overlap preferred, which from Italy is a very late day. Deep Clay and hands-on Claude called non-negotiable. Talent marketplace, so the end employer is unnamed.</t>
  </si>
  <si>
    <t xml:space="preserve">https://himalayas.app/companies/huzzle/jobs/gtm-engineer-ai-systems</t>
  </si>
  <si>
    <t xml:space="preserve">medium - Himalayas rendered title, Romania only, contractor basis, tool list and the September deadline.</t>
  </si>
  <si>
    <t xml:space="preserve">Lead Full Stack Engineer (AI-first) | Remote (from Europe)</t>
  </si>
  <si>
    <t xml:space="preserve">Creatunity LLC</t>
  </si>
  <si>
    <t xml:space="preserve">https://jobs.workable.com/view/jVGnyeQeCeg4BoUw2QPnP5/lead-full-stack-engineer-(ai-first)-%7C-remote-(from-europe)-in-amsterdam-at-creatunity-llc</t>
  </si>
  <si>
    <t xml:space="preserve">Forward-Deployed Engineer</t>
  </si>
  <si>
    <t xml:space="preserve">Zencargo</t>
  </si>
  <si>
    <t xml:space="preserve">https://himalayas.app/companies/zencargo/jobs/forward-deployed-engineer-9064118696</t>
  </si>
  <si>
    <t xml:space="preserve">AI Full Stack Developer</t>
  </si>
  <si>
    <t xml:space="preserve">Leadtech</t>
  </si>
  <si>
    <t xml:space="preserve">not stated  |  Spain, fully remote</t>
  </si>
  <si>
    <t xml:space="preserve">No Spanish requirement stated, the posting and requirements are in English</t>
  </si>
  <si>
    <t xml:space="preserve">about 18 Jul 2026</t>
  </si>
  <si>
    <t xml:space="preserve">TypeScript, Next.js App Router, React, NestJS, Fastify, Prisma, PostgreSQL, SWR, Tailwind, Claude SDK, Model Context Protocol</t>
  </si>
  <si>
    <t xml:space="preserve">Closest stack match in its lane: Next.js, React, TypeScript, Node and Postgres plus Anthropic tooling. Confirm the contract is Spain-based and that Spanish really is not needed. Note leadtech appeared on the 5 Aug dead list under three other roles, so this board moves fast.</t>
  </si>
  <si>
    <t xml:space="preserve">https://www.welcometothejungle.com/en/companies/leadtech/jobs/ai-developer-full-stack_es_hup3tkve</t>
  </si>
  <si>
    <t xml:space="preserve">high - Welcome to the Jungle rendered the full body and the Workable apply link. The Workable page itself is client-rendered and could not be read.</t>
  </si>
  <si>
    <t xml:space="preserve">Versatile Web Scraper Needed</t>
  </si>
  <si>
    <t xml:space="preserve">Private client via Freelancer.com (Orange, US)</t>
  </si>
  <si>
    <t xml:space="preserve">Scraping and parsing pipelines, JavaScript, PHP, API development, automation, lead and contact enrichment output</t>
  </si>
  <si>
    <t xml:space="preserve">Skill tags include Python, and JS-heavy site handling implies a headless browser stack he has not listed. A US client but remote freelance, so no sponsorship question. Aviation contact scraping raises data-source and GDPR questions worth clarifying first.</t>
  </si>
  <si>
    <t xml:space="preserve">https://www.freelancer.com/projects/data-extraction/versatile-web-scraper-needed</t>
  </si>
  <si>
    <t xml:space="preserve">high - Rendered body confirms the title, the USD 250 to 750 budget, the client and that it is open for bidding.</t>
  </si>
  <si>
    <t xml:space="preserve">Paires</t>
  </si>
  <si>
    <t xml:space="preserve">Brazil, Canada, France, Germany, Ireland, Netherlands, Poland, Portugal, South Africa, Spain, United Arab Emirates, United Kingdom  |  Remote, multi-country</t>
  </si>
  <si>
    <t xml:space="preserve">CAD 130K to 220K</t>
  </si>
  <si>
    <t xml:space="preserve">n8n, Clay, Claude Code, Cursor, APIs, data ingestion, enrichment, entity resolution</t>
  </si>
  <si>
    <t xml:space="preserve">Italy is NOT on the list, so he must be resident in France, Germany, Netherlands, Poland, Portugal or Spain. Ireland on the list is a sponsorship route. Requires SQL and Python. Pay far above target signals a senior bar. US Eastern overlap needed.</t>
  </si>
  <si>
    <t xml:space="preserve">https://himalayas.app/companies/paires/jobs/gtm-engineer</t>
  </si>
  <si>
    <t xml:space="preserve">medium - Himalayas rendered title, the full twelve-country list, the CAD band and the tool list.</t>
  </si>
  <si>
    <t xml:space="preserve">Specialist Solution Engineer</t>
  </si>
  <si>
    <t xml:space="preserve">Salesforce</t>
  </si>
  <si>
    <t xml:space="preserve">not stated  |  Milan, Italy, hybrid</t>
  </si>
  <si>
    <t xml:space="preserve">Advanced level of English</t>
  </si>
  <si>
    <t xml:space="preserve">EUR 56,325 to 75,375 a year</t>
  </si>
  <si>
    <t xml:space="preserve">4 Aug 2026</t>
  </si>
  <si>
    <t xml:space="preserve">Marketing automation, CDP, APIs and integrations, solution demos. His CRM automation, lead enrichment and Make, Zapier and n8n background transfers into marketing-automation pre-sales, and the 3+ years bar matches.</t>
  </si>
  <si>
    <t xml:space="preserve">The language line names English only and no Italian requirement is stated, which is unusual and favourable for a Salesforce Italy role. Verify at first call anyway, because SMB-segment Salesforce pre-sales in Italy is normally customer-facing in Italian. Marketing Cloud and Data Cloud experience preferred and he has none. Pay well above target means a higher bar. Hybrid Milan.</t>
  </si>
  <si>
    <t xml:space="preserve">https://startup.jobs/specialist-solution-engineer-salesforce-8912021</t>
  </si>
  <si>
    <t xml:space="preserve">medium - A rendered aggregator confirmed the single posting with title, Milan, the explicit salary band, the English requirement, posted date and requirement list. The canonical Salesforce careers page was not separately opened.</t>
  </si>
  <si>
    <t xml:space="preserve">n8n Automation Architect</t>
  </si>
  <si>
    <t xml:space="preserve">Insurance-sector client via freelancermap</t>
  </si>
  <si>
    <t xml:space="preserve">Location: Germany (Fully Remote) (Workshops in Cologne and Frankfurt)  |  Germany, fully remote with occasional in-person workshops in Cologne and Frankfurt</t>
  </si>
  <si>
    <t xml:space="preserve">English fluency required. German described as beneficial, not required.</t>
  </si>
  <si>
    <t xml:space="preserve">not stated, capacity listed as 32 to 40 hours a week</t>
  </si>
  <si>
    <t xml:space="preserve">20 Apr 2026</t>
  </si>
  <si>
    <t xml:space="preserve">n8n workflow architecture, APIs, event-driven systems, process orchestration, AI-driven workflow automation, translating business process into automation design</t>
  </si>
  <si>
    <t xml:space="preserve">Posted April 2026, so verify it has not been filled. Asks for insurance domain knowledge and mainframe or legacy integration including COBOL environments and message queues, neither of which is on his CV. Architect-level seniority against 3 years. Occasional travel to Cologne and Frankfurt. A German client will normally accept an Italian individual Partita IVA invoice, but confirm no GmbH is required.</t>
  </si>
  <si>
    <t xml:space="preserve">https://www.freelancermap.com/project/n8n-automation-architect</t>
  </si>
  <si>
    <t xml:space="preserve">medium - Rendered body confirms the title, the location line, the 32 to 40 hours capacity and the requirement list. Could not confirm it is still accepting applications.</t>
  </si>
  <si>
    <t xml:space="preserve">CCaaS Implementation Consultant</t>
  </si>
  <si>
    <t xml:space="preserve">HumanIT Digital Consulting</t>
  </si>
  <si>
    <t xml:space="preserve">not stated  |  Portugal, remote</t>
  </si>
  <si>
    <t xml:space="preserve">Fluent English, required for daily collaboration across an international environment. No Portuguese requirement stated.</t>
  </si>
  <si>
    <t xml:space="preserve">EUR 45,000 to 56,000 a year per aggregator, unconfirmed on the employer page. Above his target.</t>
  </si>
  <si>
    <t xml:space="preserve">29 Jul 2026 per aggregator</t>
  </si>
  <si>
    <t xml:space="preserve">2 to 5 years configuring contact-centre platforms, which matches his level. Sprinklr Service and CCaaS modules or comparable Genesys or NICE CXone. Configuration-and-integration delivery is close to his n8n, Make and Power Automate work.</t>
  </si>
  <si>
    <t xml:space="preserve">Consultancy, so expect client-billable delivery. Sprinklr-specific experience is the main ask and he has none. Salary figure unverified.</t>
  </si>
  <si>
    <t xml:space="preserve">https://www.careers-page.com/humanit/job/W34WXVX9</t>
  </si>
  <si>
    <t xml:space="preserve">low - careers-page.com would not open in this session. All details came from a rendered aggregator mirror.</t>
  </si>
  <si>
    <t xml:space="preserve">Full Stack Engineer (PHP / JavaScript / AI)</t>
  </si>
  <si>
    <t xml:space="preserve">BetterMe</t>
  </si>
  <si>
    <t xml:space="preserve">Worldwide  |  Remote, worldwide</t>
  </si>
  <si>
    <t xml:space="preserve">PHP 8.0+, Laravel, JavaScript, React, MySQL, PostgreSQL, Redis. Claude Code, Codex and Cursor are named in the requirements, a direct match for his coding-agent habit.</t>
  </si>
  <si>
    <t xml:space="preserve">Asks 5+ years versus his 3. Symfony, Vue and jQuery also in the stack. RabbitMQ and Kafka scale work. No salary stated.</t>
  </si>
  <si>
    <t xml:space="preserve">https://euremotejobs.com/job/full-stack-engineer-php-javascript-ai/</t>
  </si>
  <si>
    <t xml:space="preserve">medium - euremotejobs rendered the exact title, company, Worldwide location, the AI-tooling requirements and a Breezy apply link.</t>
  </si>
  <si>
    <t xml:space="preserve">Backend Developer - Remote</t>
  </si>
  <si>
    <t xml:space="preserve">Wildix</t>
  </si>
  <si>
    <t xml:space="preserve">Worldwide  |  Remote-first, open globally. Wildix is Italian-founded, so an Italy-based hire is administratively straightforward.</t>
  </si>
  <si>
    <t xml:space="preserve">Upper-Intermediate English skills (B2+) for daily collaboration in our international team. English only, no Italian required.</t>
  </si>
  <si>
    <t xml:space="preserve">about 23 Jul 2026</t>
  </si>
  <si>
    <t xml:space="preserve">PHP 8.x, MySQL, Redis, AWS Lambda and API Gateway, Salesforce REST API integration. Asks 2+ years, which fits his level, and the integration work matches his API background.</t>
  </si>
  <si>
    <t xml:space="preserve">Go sits in the required stack alongside PHP and he does not have Go. Backend-only, not product or full-stack. Infrastructure-as-code with AWS SAM expected and his devops depth is thin.</t>
  </si>
  <si>
    <t xml:space="preserve">https://euremotejobs.com/job/backend-developer-remote/</t>
  </si>
  <si>
    <t xml:space="preserve">medium - euremotejobs rendered the exact title, company, 2-year bar, the English B2+ line and a BambooHR apply link. The BambooHR page returned a permission error.</t>
  </si>
  <si>
    <t xml:space="preserve">Senior Product Engineer</t>
  </si>
  <si>
    <t xml:space="preserve">Kombo</t>
  </si>
  <si>
    <t xml:space="preserve">not stated  |  Berlin, Germany. Onsite 4+ days per week.</t>
  </si>
  <si>
    <t xml:space="preserve">not stated, the posting is in English</t>
  </si>
  <si>
    <t xml:space="preserve">TypeScript, Node.js, React, PostgreSQL, GCP, Docker, Prisma. Kombo's product is unified HR and ATS integration APIs, a direct thematic match to his integration and parsing pipeline work.</t>
  </si>
  <si>
    <t xml:space="preserve">Titled Senior and asks 5 to 8+ years against his 3, though the posting notes openness to various levels. Onsite 4+ days a week in Berlin, so no remote option.</t>
  </si>
  <si>
    <t xml:space="preserve">https://berlinstartupjobs.com/engineering/senior-product-engineer-kombo/</t>
  </si>
  <si>
    <t xml:space="preserve">medium - berlinstartupjobs rendered the full posting with the stack and an Ashby apply link. The Ashby page was not opened.</t>
  </si>
  <si>
    <t xml:space="preserve">Software Engineer (Frontend)</t>
  </si>
  <si>
    <t xml:space="preserve">Trustfull (frontend req)</t>
  </si>
  <si>
    <t xml:space="preserve">not stated  |  Milan, Italy, in-office with 60% remote flexibility</t>
  </si>
  <si>
    <t xml:space="preserve">EUR 35,000 to 60,000 gross</t>
  </si>
  <si>
    <t xml:space="preserve">about 26 Jul 2026</t>
  </si>
  <si>
    <t xml:space="preserve">React, TypeScript, RESTful APIs, Jest, Git and CI/CD, Figma-to-component work. Matches his React and Next.js delivery on FlowSpace. Requires 3+ years modern web app experience, which he meets.</t>
  </si>
  <si>
    <t xml:space="preserve">Same language caveat as the sibling role: a Milan-founded startup, so confirm. Micro frontends via module federation is called out as required expertise and he has no stated exposure. Relocation from Venice needed.</t>
  </si>
  <si>
    <t xml:space="preserve">https://builtin.com/job/software-engineer-frontend/7834165</t>
  </si>
  <si>
    <t xml:space="preserve">high - Rendered body showed the single posting with title, Milan, salary band, the 3+ years requirement and the full stack list.</t>
  </si>
  <si>
    <t xml:space="preserve">AI Solutions Engineer</t>
  </si>
  <si>
    <t xml:space="preserve">Berkeley Square IT</t>
  </si>
  <si>
    <t xml:space="preserve">https://himalayas.app/companies/berkeley-square-it/jobs/ai-solutions-engineer</t>
  </si>
  <si>
    <t xml:space="preserve">Founding Engineer (Core)</t>
  </si>
  <si>
    <t xml:space="preserve">Avery</t>
  </si>
  <si>
    <t xml:space="preserve">https://join.com/companies/getaveryai/16375814-founding-engineer-core</t>
  </si>
  <si>
    <t xml:space="preserve">Automation Specialist (fluent English, remote Europe)</t>
  </si>
  <si>
    <t xml:space="preserve">SupportYourApp</t>
  </si>
  <si>
    <t xml:space="preserve">Poland only  |  Remote, Poland. Title says Europe, eligibility line says Poland only.</t>
  </si>
  <si>
    <t xml:space="preserve">Fluency in English</t>
  </si>
  <si>
    <t xml:space="preserve">AI automation, workflow optimisation, process automation, APIs and integration, chatbots, client discovery sessions</t>
  </si>
  <si>
    <t xml:space="preserve">Title advertises Europe but eligibility says Poland only, so confirm first. Platform stack is Zendesk, Freshdesk and Intercom rather than n8n. Bar is 1+ years so pay is likely low. Closes 20 Aug.</t>
  </si>
  <si>
    <t xml:space="preserve">https://himalayas.app/companies/supportyourapp/jobs/fluent-english-automation-specialist-remote-europe</t>
  </si>
  <si>
    <t xml:space="preserve">medium - Himalayas rendered the title, Poland only, contractor type, English requirement and responsibilities.</t>
  </si>
  <si>
    <t xml:space="preserve">n8n Developer or Team Wanted</t>
  </si>
  <si>
    <t xml:space="preserve">Private poster on the n8n Community jobs board</t>
  </si>
  <si>
    <t xml:space="preserve">not stated  |  Remote, location not stated</t>
  </si>
  <si>
    <t xml:space="preserve">23 Jul 2026, newest reply 3 Aug 2026</t>
  </si>
  <si>
    <t xml:space="preserve">n8n workflow build, portfolio-led selection</t>
  </si>
  <si>
    <t xml:space="preserve">A very thin brief: no budget, no scope, no deadline, no location. The apply route is a thread reply or DM, not a formal ATS. The poster says proposals submitted without a portfolio will not be considered, and he has no public GitHub, so he needs to package FlowSpace and n8n workflow exports as the portfolio.</t>
  </si>
  <si>
    <t xml:space="preserve">https://community.n8n.io/t/looking-for-n8n-developer-or-team/304434</t>
  </si>
  <si>
    <t xml:space="preserve">medium - Rendered thread body confirms the title, the original post and an active reply path, with the newest reply dated 3 Aug 2026.</t>
  </si>
  <si>
    <t xml:space="preserve">GTM Engineer (Part Time or Full Time)</t>
  </si>
  <si>
    <t xml:space="preserve">Unnamed hirer via the Clay community jobs board</t>
  </si>
  <si>
    <t xml:space="preserve">CET Timezone  |  Remote, CET timezone, so Venice fits</t>
  </si>
  <si>
    <t xml:space="preserve">Part-time USD 700 to 800 a month plus performance bonuses. Full-time USD 1,000 to 1,400 a month plus bonuses.</t>
  </si>
  <si>
    <t xml:space="preserve">Clay as the primary tool, n8n, API and data source integration, outbound and lead enrichment automation, GoHighLevel nice to have</t>
  </si>
  <si>
    <t xml:space="preserve">Pay is well below his day-rate equivalent and a commenter in the thread flagged the compensation as very low. The hiring entity is not named, so do due diligence first. Clay is not on his CV though it is close to his enrichment work. Apply route is a DM plus a Loom video and resume.</t>
  </si>
  <si>
    <t xml:space="preserve">https://community.clay.com/x/full-time-jobs/dr9ev9pdah79/hiring-gtm-engineer-part-timefull-time-for-long-te</t>
  </si>
  <si>
    <t xml:space="preserve">medium - Rendered post body confirms the role, the CET timezone line, both pay bands and the Loom-plus-resume apply instruction.</t>
  </si>
  <si>
    <t xml:space="preserve">Trustfull</t>
  </si>
  <si>
    <t xml:space="preserve">Job offers may be withdrawn if candidates do not meet our pre-employment checks: unspent criminal convictions, employment verification, and right to work.  |  Milan, Italy, in-office</t>
  </si>
  <si>
    <t xml:space="preserve">EUR 35,000 to 60,000 gross RAL</t>
  </si>
  <si>
    <t xml:space="preserve">about 20 Jul 2026</t>
  </si>
  <si>
    <t xml:space="preserve">TypeScript, PHP, Laravel, Symfony, Next.js, Docker, Git, Agile. The strongest single stack match in the Italy set: his Laravel plus TypeScript plus Next.js combination is named almost verbatim.</t>
  </si>
  <si>
    <t xml:space="preserve">No Italian requirement stated, but Trustfull is a Milan-founded startup so confirm the working language before investing. Listed as Senior against his 3 years. In-office Milan means moving from Venice. The salary band starts exactly on his target.</t>
  </si>
  <si>
    <t xml:space="preserve">https://builtin.com/job/software-engineer/7834176</t>
  </si>
  <si>
    <t xml:space="preserve">high - Rendered body showed the single posting with title, Milan location, RAL band, full requirement list and the pre-employment-check clause. Apply path is via a Built In account.</t>
  </si>
  <si>
    <t xml:space="preserve">AI Engineer</t>
  </si>
  <si>
    <t xml:space="preserve">Lexroom</t>
  </si>
  <si>
    <t xml:space="preserve">EUR 40,000 to 75,000 in the header, EUR 45,000 to 100,000 in the benefits section</t>
  </si>
  <si>
    <t xml:space="preserve">about 5 Aug 2026</t>
  </si>
  <si>
    <t xml:space="preserve">React and Next.js, JavaScript and TypeScript, SQL and vector databases, agent-driven and RAG-based AI systems. The agentic and RAG framing lines up with his n8n agentic workflow and LLM API work.</t>
  </si>
  <si>
    <t xml:space="preserve">HIGH ITALIAN RISK. No language requirement is stated, but Lexroom is an Italian legal-research AI product built on Italian case law and the domain work is in Italian, so treat the absence of a language line as unproven rather than safe. Also requires Python and Flask plus ML, NLP and LLM fine-tuning, which he lacks. Two conflicting salary figures on the same page.</t>
  </si>
  <si>
    <t xml:space="preserve">https://builtin.com/job/ai-engineer-full-stack/8308933</t>
  </si>
  <si>
    <t xml:space="preserve">medium - Built In rendered a single AI Engineer posting for Lexroom, Milan, with visible Apply Now buttons and full requirement text. The company's own careers URL 404'd, which is why this is not marked high.</t>
  </si>
  <si>
    <t xml:space="preserve">Senior Full Stack AI Engineer</t>
  </si>
  <si>
    <t xml:space="preserve">Toptal</t>
  </si>
  <si>
    <t xml:space="preserve">https://weworkremotely.com/remote-jobs/toptal-senior-full-stack-ai-engineer</t>
  </si>
  <si>
    <t xml:space="preserve">Italgas</t>
  </si>
  <si>
    <t xml:space="preserve">Indeed location field: Milan, Lombardy, Italy  |  Milan, Lombardy, Italy</t>
  </si>
  <si>
    <t xml:space="preserve">Surfaced by an Indeed Italy keyword search on n8n, automation engineer and AI engineer.</t>
  </si>
  <si>
    <t xml:space="preserve">https://it.indeed.com/viewjob?jk=67cafa8f40dbd2fc</t>
  </si>
  <si>
    <t xml:space="preserve">Axmed</t>
  </si>
  <si>
    <t xml:space="preserve">Must already have the legal right to work in the country where based. Visa sponsorship and relocation support are not available.  |  Spain, remote</t>
  </si>
  <si>
    <t xml:space="preserve">not stated, Spanish not listed as a requirement</t>
  </si>
  <si>
    <t xml:space="preserve">refreshed 6 Aug 2026</t>
  </si>
  <si>
    <t xml:space="preserve">Mid-level AI engineer building LLM applications. Named stack is Python and cloud.</t>
  </si>
  <si>
    <t xml:space="preserve">Python-centric and he is not a deep Python backend engineer, so a partial match at best. No relocation support, so he must already be resident in Spain.</t>
  </si>
  <si>
    <t xml:space="preserve">https://axmed.teamtailor.com/jobs/8175859-ai-engineer</t>
  </si>
  <si>
    <t xml:space="preserve">medium - A rendered aggregator shows the full job body including the verbatim eligibility line and this Teamtailor apply URL. The Teamtailor page itself could not be opened.</t>
  </si>
  <si>
    <t xml:space="preserve">Pandata</t>
  </si>
  <si>
    <t xml:space="preserve">English required, German is not mentioned as a requirement</t>
  </si>
  <si>
    <t xml:space="preserve">TypeScript, Next.js, Node.js, Electron, PostgreSQL, Supabase, GCP Cloud Run, Vercel. The closest single stack match in the whole sweep to his FlowSpace build.</t>
  </si>
  <si>
    <t xml:space="preserve">Years of experience not stated, so the level is unknown. Electron desktop work is new to him. Berlin office role, so relocation or a remote-within-Germany arrangement would need negotiating.</t>
  </si>
  <si>
    <t xml:space="preserve">https://berlinstartupjobs.com/engineering/full-stack-developer-pandata-gmbh/</t>
  </si>
  <si>
    <t xml:space="preserve">medium - berlinstartupjobs rendered the full posting with the stack list and an apply link to pandata.de. The pandata.de page itself could not be fetched.</t>
  </si>
  <si>
    <t xml:space="preserve">LLM Engineer - Freelancer</t>
  </si>
  <si>
    <t xml:space="preserve">Monterail</t>
  </si>
  <si>
    <t xml:space="preserve">https://jobs.workable.com/view/cB3gEgQkRU86js7TdJ98fJ/remote-llm-engineer---freelancer-in-warsaw-at-monterail</t>
  </si>
  <si>
    <t xml:space="preserve">AI Automation Engineer, In-House MarTech Video SaaS</t>
  </si>
  <si>
    <t xml:space="preserve">Vidalytics</t>
  </si>
  <si>
    <t xml:space="preserve">https://weworkremotely.com/remote-jobs/vidalytics-ai-automation-engineer-in-house-martech-video-saas</t>
  </si>
  <si>
    <t xml:space="preserve">Full Stack Engineer</t>
  </si>
  <si>
    <t xml:space="preserve">Sortitt</t>
  </si>
  <si>
    <t xml:space="preserve">https://himalayas.app/companies/sortitt/jobs/full-stack-engineer</t>
  </si>
  <si>
    <t xml:space="preserve">AI and Automation Engineer</t>
  </si>
  <si>
    <t xml:space="preserve">VFX Financial</t>
  </si>
  <si>
    <t xml:space="preserve">Portugal only  |  Portugal, hybrid in Portimao or fully remote within Portugal</t>
  </si>
  <si>
    <t xml:space="preserve">Strong written English for documentation, runbooks and stakeholder communication</t>
  </si>
  <si>
    <t xml:space="preserve">20 Jul 2026, deadline 18 Sep 2026</t>
  </si>
  <si>
    <t xml:space="preserve">Power Automate, OpenAI API, Claude API, Microsoft 365, API integration, LLM-powered workflows, agentic AI patterns</t>
  </si>
  <si>
    <t xml:space="preserve">Python is a listed core skill and Azure plus Azure OpenAI are core. Asks 3 to 6 years, he is at 3. Portugal residence needed.</t>
  </si>
  <si>
    <t xml:space="preserve">https://himalayas.app/companies/vfx-financial/jobs/ai-automation-engineer</t>
  </si>
  <si>
    <t xml:space="preserve">medium - Himalayas rendered title, Portugal only, hybrid detail, skills list, English line and apply path.</t>
  </si>
  <si>
    <t xml:space="preserve">Technical Account Manager - RTB</t>
  </si>
  <si>
    <t xml:space="preserve">MGID</t>
  </si>
  <si>
    <t xml:space="preserve">not stated  |  Ukraine and Poland, remote. Poland is the EU-eligible option.</t>
  </si>
  <si>
    <t xml:space="preserve">Intermediate English level (B1 or higher). No local language stated.</t>
  </si>
  <si>
    <t xml:space="preserve">SQL, GET and POST requests, Postman, Chrome DevTools, terminal tooling, HTML5, CSS3, JavaScript, MongoDB. Maps closely onto his REST, webhook and debugging work and the client-facing troubleshooting he did at FlowSpace.</t>
  </si>
  <si>
    <t xml:space="preserve">Adtech RTB domain is new. Ukraine is the primary listed location, so confirm Poland is genuinely open and whether they will contract someone resident in Italy. MongoDB not in his stack.</t>
  </si>
  <si>
    <t xml:space="preserve">https://mgid.recruitee.com/o/technical-account-manager-rtb-1</t>
  </si>
  <si>
    <t xml:space="preserve">low - mgid.recruitee.com would not open in this session. All details came from a rendered aggregator mirror.</t>
  </si>
  <si>
    <t xml:space="preserve">Full Stack Software Development Engineer React / Node.js</t>
  </si>
  <si>
    <t xml:space="preserve">Launchmetrics</t>
  </si>
  <si>
    <t xml:space="preserve">applicants must be based in Spain or Italy and have a work permit to be considered  |  Girona, Madrid, Milan, fully remote, must be based in Spain or Italy</t>
  </si>
  <si>
    <t xml:space="preserve">you speak, read, and write English fluently. No Italian or Spanish requirement stated.</t>
  </si>
  <si>
    <t xml:space="preserve">23 Jul 2026</t>
  </si>
  <si>
    <t xml:space="preserve">React, Node.js, TypeScript, Express.js, MySQL, Redis, REST, Jest. Asks minimum 2 years full-stack SaaS and minimum 2 years JavaScript or TypeScript, which matches his 3 years.</t>
  </si>
  <si>
    <t xml:space="preserve">Python and Java also appear in the stack list. AWS Lambda and ECS plus Databricks exposure expected. Salary not published.</t>
  </si>
  <si>
    <t xml:space="preserve">https://careers.launchmetrics.com/jobs/8102801-full-stack-software-development-engineer-react-node-js</t>
  </si>
  <si>
    <t xml:space="preserve">high - Fetched the Teamtailor careers page directly. Rendered body shows this exact title, the Spain or Italy work-permit sentence and an Apply for this job button.</t>
  </si>
  <si>
    <t xml:space="preserve">Full Stack Software Development Engineer PHP/React</t>
  </si>
  <si>
    <t xml:space="preserve">Launchmetrics (PHP req)</t>
  </si>
  <si>
    <t xml:space="preserve">applicants must be based in Spain, Italy, France or Romania and have a work permit to be considered  |  Fully remote or hybrid, must be based in Spain, Italy, France or Romania</t>
  </si>
  <si>
    <t xml:space="preserve">you speak, read, and write English fluently. No local language requirement stated.</t>
  </si>
  <si>
    <t xml:space="preserve">PHP 8+, Laravel, React, TypeScript, JavaScript, MySQL 8+, AWS, Jest, PHPUnit. Claude Code is named explicitly in the tooling, matching his daily coding-agent use.</t>
  </si>
  <si>
    <t xml:space="preserve">Asks minimum 5 years full-stack SaaS versus his 3. Doctrine sits alongside Laravel. Storybook and build-tooling depth expected.</t>
  </si>
  <si>
    <t xml:space="preserve">https://careers.launchmetrics.com/jobs/8072383-full-stack-software-development-engineer-php-react</t>
  </si>
  <si>
    <t xml:space="preserve">high - Rendered body shows the exact title, the four-country work-permit sentence and an Apply for this job button.</t>
  </si>
  <si>
    <t xml:space="preserve">AI Transformation Lead</t>
  </si>
  <si>
    <t xml:space="preserve">Valsea Technology</t>
  </si>
  <si>
    <t xml:space="preserve">https://valsea.teamtailor.com/jobs/7743448-ai-transformation-lead</t>
  </si>
  <si>
    <t xml:space="preserve">Senior Fullstack Engineer - PHP/Laravel</t>
  </si>
  <si>
    <t xml:space="preserve">Ultimate Jet Vacations</t>
  </si>
  <si>
    <t xml:space="preserve">Worldwide  |  Remote worldwide. The posting notes contractors outside the US are engaged under independent contractor agreements.</t>
  </si>
  <si>
    <t xml:space="preserve">21 Jul 2026</t>
  </si>
  <si>
    <t xml:space="preserve">PHP, Laravel, React, Next.js, MySQL, Tailwind, Docker, REST. Laravel plus Next.js in one role is an unusually exact match to his FlowSpace migration.</t>
  </si>
  <si>
    <t xml:space="preserve">Asks 5 to 7 years versus his 3. LatAm-based candidates are welcomed, which points at Americas hours. NestJS and AWS ECS depth expected. No day rate stated.</t>
  </si>
  <si>
    <t xml:space="preserve">https://euremotejobs.com/job/senior-fullstack-engineer-php-laravel/</t>
  </si>
  <si>
    <t xml:space="preserve">medium - euremotejobs rendered the exact title, company, contractor note and a Rippling ATS apply link.</t>
  </si>
  <si>
    <t xml:space="preserve">Full Stack Developer, Javascript</t>
  </si>
  <si>
    <t xml:space="preserve">Codekeeper (engineering req)</t>
  </si>
  <si>
    <t xml:space="preserve">not stated  |  Netherlands, remote</t>
  </si>
  <si>
    <t xml:space="preserve">not stated, Dutch is not listed as a requirement</t>
  </si>
  <si>
    <t xml:space="preserve">about 2 Aug 2026</t>
  </si>
  <si>
    <t xml:space="preserve">JavaScript, TypeScript, React, Next.js App Router, GraphQL and Apollo, TailwindCSS, PostgreSQL, Prisma, Drizzle, Auth0 and NextAuth, Playwright and Jest. Very close to his front-end and Next.js work.</t>
  </si>
  <si>
    <t xml:space="preserve">Asks 5+ years in JS, TS and React and 3+ years with Next.js and GraphQL, clearly above his 3 years. Working language not stated. GraphQL and Apollo are not on his CV.</t>
  </si>
  <si>
    <t xml:space="preserve">https://codekeeper.applytojob.com/apply/qtxlu2ygms/full-stack-developer-javascript</t>
  </si>
  <si>
    <t xml:space="preserve">medium - A rendered aggregator shows the full job body and gives this employer apply URL. The employer ATS page was not separately opened.</t>
  </si>
  <si>
    <t xml:space="preserve">Marketing Operations Specialist</t>
  </si>
  <si>
    <t xml:space="preserve">Codekeeper</t>
  </si>
  <si>
    <t xml:space="preserve">Europe - Remote  |  Remote Europe</t>
  </si>
  <si>
    <t xml:space="preserve">Proficiency in English, written and verbal</t>
  </si>
  <si>
    <t xml:space="preserve">1 Aug 2026</t>
  </si>
  <si>
    <t xml:space="preserve">HubSpot and Figma named as prerequisites, marketing operations ownership</t>
  </si>
  <si>
    <t xml:space="preserve">Figma is a stated prerequisite and is not on his stack. No pay. Remote-Europe scope is not spelled out country by country.</t>
  </si>
  <si>
    <t xml:space="preserve">https://codekeeper.applytojob.com/apply/l5nagz7rkv/marketing-operations-specialist</t>
  </si>
  <si>
    <t xml:space="preserve">low - applytojob.com would not open in this session, so body text is unconfirmed. Details came from a rendered aggregator page.</t>
  </si>
  <si>
    <t xml:space="preserve">AI-Driven Digital Systems and Integration Manager (all gender)</t>
  </si>
  <si>
    <t xml:space="preserve">Aerofoils</t>
  </si>
  <si>
    <t xml:space="preserve">Remote, Weissdorf  |  Germany, Weissdorf in Upper Franconia, with a remote option</t>
  </si>
  <si>
    <t xml:space="preserve">The posting is written in English and no language requirement is stated anywhere in the body</t>
  </si>
  <si>
    <t xml:space="preserve">Strongest match in the enablement lane: n8n, Zapier and Make named explicitly, plus Shopify, HubSpot, Microsoft Dynamics 365 Business Central, SQL and BI. Exactly his no-code plus integration plus business-logic-documentation profile, applied to a manufacturer.</t>
  </si>
  <si>
    <t xml:space="preserve">A small manufacturer, so no in-house team to lean on and he would own the systems layer. Extensive experience in e-commerce platform administration is asked. No language line is stated but the head office is rural Bavaria, so confirm the day-to-day working language first.</t>
  </si>
  <si>
    <t xml:space="preserve">https://aerofoils-gmbh.jobs.personio.de/job/2424999?language=en</t>
  </si>
  <si>
    <t xml:space="preserve">high - Rendered body confirmed twice: title, employer description, full requirements, Full-time Permanent employee and an Apply for this job button appearing twice.</t>
  </si>
  <si>
    <t xml:space="preserve">n8n Developer</t>
  </si>
  <si>
    <t xml:space="preserve">KDCI</t>
  </si>
  <si>
    <t xml:space="preserve">https://himalayas.app/companies/kdci/jobs/n8n-developer</t>
  </si>
  <si>
    <t xml:space="preserve">Full-Stack Developer (AI), Severa</t>
  </si>
  <si>
    <t xml:space="preserve">Visma Solutions Oy</t>
  </si>
  <si>
    <t xml:space="preserve">https://vismafinland.teamtailor.com/jobs/8013387-full-stack-developer-ai-severa</t>
  </si>
  <si>
    <t xml:space="preserve">(Senior) Agentic AI Developer</t>
  </si>
  <si>
    <t xml:space="preserve">BearingPoint</t>
  </si>
  <si>
    <t xml:space="preserve">https://bearingpointromania.teamtailor.com/jobs/8170303-senior-agentic-ai-developer</t>
  </si>
  <si>
    <t xml:space="preserve">AI Automation Team Lead (Remote, Contract)</t>
  </si>
  <si>
    <t xml:space="preserve">INFUSE</t>
  </si>
  <si>
    <t xml:space="preserve">28 Jul 2026, deadline 26 Sep 2026</t>
  </si>
  <si>
    <t xml:space="preserve">n8n, Zapier, no-code and low-code platforms, Claude and Gemini, data flow design, process redesign, stakeholder management</t>
  </si>
  <si>
    <t xml:space="preserve">Team lead managing 3 to 4 people, a stretch on 3 years. Python scripting and SQL are core and his Python is thin. Romania residence needed. Contract basis suits his day rate but no rate published.</t>
  </si>
  <si>
    <t xml:space="preserve">https://himalayas.app/companies/infuse/jobs/ai-automation-team-lead-remote-contract-2194443646</t>
  </si>
  <si>
    <t xml:space="preserve">medium - Himalayas rendered title, Romania only, contract type, skills and apply path.</t>
  </si>
  <si>
    <t xml:space="preserve">Full Stack AI Engineer</t>
  </si>
  <si>
    <t xml:space="preserve">Reveleer</t>
  </si>
  <si>
    <t xml:space="preserve">https://weworkremotely.com/remote-jobs/reveleer-full-stack-ai-engineer</t>
  </si>
  <si>
    <t xml:space="preserve">Software Engineer | Propr.xyz</t>
  </si>
  <si>
    <t xml:space="preserve">SwissBorg</t>
  </si>
  <si>
    <t xml:space="preserve">https://himalayas.app/companies/swissborg/jobs/software-engineer-propr-xyz</t>
  </si>
  <si>
    <t xml:space="preserve">Founding AI Engineer</t>
  </si>
  <si>
    <t xml:space="preserve">Helloprint</t>
  </si>
  <si>
    <t xml:space="preserve">https://helloprint.recruitee.com/o/founding-ai-engineer</t>
  </si>
  <si>
    <t xml:space="preserve">AI &amp; Automation Transformation Engineer</t>
  </si>
  <si>
    <t xml:space="preserve">Mintos</t>
  </si>
  <si>
    <t xml:space="preserve">https://mintos.teamtailor.com/jobs/7738030-ai-automation-transformation-engineer</t>
  </si>
  <si>
    <t xml:space="preserve">AI Developer, Junior/Mid</t>
  </si>
  <si>
    <t xml:space="preserve">Etiqa</t>
  </si>
  <si>
    <t xml:space="preserve">not stated  |  Italy, remote</t>
  </si>
  <si>
    <t xml:space="preserve">not stated. An Italian firm, so Italian may be expected in practice.</t>
  </si>
  <si>
    <t xml:space="preserve">2 Apr 2026</t>
  </si>
  <si>
    <t xml:space="preserve">Python, React</t>
  </si>
  <si>
    <t xml:space="preserve">One of very few junior-to-mid labelled roles found anywhere, and Italy-remote. But the posting is four months old so confirm it is still open, and Python is the primary language.</t>
  </si>
  <si>
    <t xml:space="preserve">https://etiqa-srl.breezy.hr/p/f5bc746306c601-ai-developer-junior-mid-efficiently-lazy</t>
  </si>
  <si>
    <t xml:space="preserve">low - The Breezy page was blocked to the fetcher. Title, stack, contract type and date read from a rendered mirror only.</t>
  </si>
  <si>
    <t xml:space="preserve">Shopify Engineer</t>
  </si>
  <si>
    <t xml:space="preserve">Nebulab</t>
  </si>
  <si>
    <t xml:space="preserve">Italy only  |  Italy, remote</t>
  </si>
  <si>
    <t xml:space="preserve">not stated. Nebulab operates in English internally.</t>
  </si>
  <si>
    <t xml:space="preserve">JavaScript, React, GraphQL, Shopify Admin API, Hydrogen. Asks 3 years minimum, matching his level, and the API work matches his REST and webhook experience.</t>
  </si>
  <si>
    <t xml:space="preserve">Heavily Shopify and Liquid specialised, which he has not done. Ruby on Rails appears in the stack. No salary stated.</t>
  </si>
  <si>
    <t xml:space="preserve">https://himalayas.app/companies/nebulab-com/jobs/shopify-engineer</t>
  </si>
  <si>
    <t xml:space="preserve">medium - Himalayas rendered the exact title, Italy only, the 3-year bar and an apply path.</t>
  </si>
  <si>
    <t xml:space="preserve">Reaktor</t>
  </si>
  <si>
    <t xml:space="preserve">https://jobs.ashbyhq.com/reaktor/0b3c4d59-67f8-48f3-a573-5d62b89620c4</t>
  </si>
  <si>
    <t xml:space="preserve">Full Stack AI Engineer (Remote in Ireland)</t>
  </si>
  <si>
    <t xml:space="preserve">Otonomee</t>
  </si>
  <si>
    <t xml:space="preserve">https://otonomee.jobs.personio.com/job/2656102</t>
  </si>
  <si>
    <t xml:space="preserve">Airtable Process Automation Expert</t>
  </si>
  <si>
    <t xml:space="preserve">https://weworkremotely.com/remote-jobs/toptal-airtable-process-automation-expert</t>
  </si>
  <si>
    <t xml:space="preserve">Senior Solutions Engineer (Presales), Fintech SaaS</t>
  </si>
  <si>
    <t xml:space="preserve">Basikon</t>
  </si>
  <si>
    <t xml:space="preserve">not stated  |  Paris, fully remote</t>
  </si>
  <si>
    <t xml:space="preserve">No French requirement stated, the posting is in English</t>
  </si>
  <si>
    <t xml:space="preserve">Low-code modular API-first lending and financing platform, API integrations, demo building, RFP responses</t>
  </si>
  <si>
    <t xml:space="preserve">Titled Senior against his 3 years. French HQ so French may be expected in practice despite not being stated. Low-code plus API-first suits someone who came from Bubble.io.</t>
  </si>
  <si>
    <t xml:space="preserve">https://www.welcometothejungle.com/en/companies/basikon/jobs/senior-solutions-engineer-presales-fintech-saas_paris</t>
  </si>
  <si>
    <t xml:space="preserve">high - Welcome to the Jungle rendered the full body, the four-step hiring process and an Apply button.</t>
  </si>
  <si>
    <t xml:space="preserve">Technical Account Manager (NEU)</t>
  </si>
  <si>
    <t xml:space="preserve">AlertMedia</t>
  </si>
  <si>
    <t xml:space="preserve">AlertMedia does not sponsor. Must have legal right to work in Ireland.  |  Remote, Dublin, Ireland</t>
  </si>
  <si>
    <t xml:space="preserve">Professional fluency in written and spoken English is required.</t>
  </si>
  <si>
    <t xml:space="preserve">3 to 5 years in customer-facing technical roles, which matches him well. APIs and integrations, SSO, SCIM, SFTP, reading logs and debugging, AI tooling.</t>
  </si>
  <si>
    <t xml:space="preserve">Ireland opted out of Directive 2003/109/EC so his Italian permit does not carry over, and the posting states outright that they do not sponsor. Effectively closed unless he already holds Irish work rights.</t>
  </si>
  <si>
    <t xml:space="preserve">https://job-boards.greenhouse.io/alertmedia/jobs/8656401002</t>
  </si>
  <si>
    <t xml:space="preserve">high - Greenhouse page rendered one posting, the Dublin location, the verbatim no-sponsorship sentence and a full apply form.</t>
  </si>
  <si>
    <t xml:space="preserve">Implementation Engineer (Remote, ESP)</t>
  </si>
  <si>
    <t xml:space="preserve">CrowdStrike</t>
  </si>
  <si>
    <t xml:space="preserve">not stated  |  Spain, remote</t>
  </si>
  <si>
    <t xml:space="preserve">not stated, no Spanish requirement found</t>
  </si>
  <si>
    <t xml:space="preserve">Minimum 2 years as a field engineer, technical customer success or post-sales engineer, which genuinely matches his level. Large employer with a real Spain-remote entity.</t>
  </si>
  <si>
    <t xml:space="preserve">Required domain is Windows Server, Active Directory, Kerberos, LDAP, NTLM, SIEM, IAM, PAM, HyperV, VMware ESXi and the three major clouds. A security-infrastructure skill set he does not have. A long shot despite the friendly experience bar.</t>
  </si>
  <si>
    <t xml:space="preserve">https://crowdstrike.wd5.myworkdayjobs.com/crowdstrikecareers/job/spain---remote/implementation-engineer--remote--esp-_r29357</t>
  </si>
  <si>
    <t xml:space="preserve">low - The Workday page would not open in this session. Title, Spain-remote location and the 2-year line came from a rendered aggregator mirror.</t>
  </si>
  <si>
    <t xml:space="preserve">RevOps Specialist</t>
  </si>
  <si>
    <t xml:space="preserve">Enfuce</t>
  </si>
  <si>
    <t xml:space="preserve">Germany - Remote  |  Germany, remote. Enfuce is Finland-based.</t>
  </si>
  <si>
    <t xml:space="preserve">not stated, German not listed as a requirement</t>
  </si>
  <si>
    <t xml:space="preserve">HubSpot, Salesforce, CRM platforms, sales engagement tools, analytics. Maps to his CRM automation and funnel plumbing.</t>
  </si>
  <si>
    <t xml:space="preserve">Asks 4+ years in Revenue Operations specifically, against his 3, and his experience is engineering-led rather than RevOps-titled. Forecasting leans analyst.</t>
  </si>
  <si>
    <t xml:space="preserve">https://enfuceoy.teamtailor.com/jobs/6554769-revops-specialist</t>
  </si>
  <si>
    <t xml:space="preserve">low - teamtailor.com would not open in this session. Details came from two independent rendered aggregator pages.</t>
  </si>
  <si>
    <t xml:space="preserve">AI Full-Stack Product Engineer (Mid-Level)</t>
  </si>
  <si>
    <t xml:space="preserve">Riverflex</t>
  </si>
  <si>
    <t xml:space="preserve">https://riverflex.recruitee.com/o/ai-full-stack-product-engineer-mid-level</t>
  </si>
  <si>
    <t xml:space="preserve">Senior Independent AI Engineer / Architect</t>
  </si>
  <si>
    <t xml:space="preserve">A.Team</t>
  </si>
  <si>
    <t xml:space="preserve">https://weworkremotely.com/remote-jobs/a-team-senior-independent-ai-engineer-architect</t>
  </si>
  <si>
    <t xml:space="preserve">AI Engineer Mid/Senior - Remote</t>
  </si>
  <si>
    <t xml:space="preserve">Haiku</t>
  </si>
  <si>
    <t xml:space="preserve">https://www.welcometothejungle.com/fr/companies/clerk/jobs/ai-engineer-mid-senior-remote_begles</t>
  </si>
  <si>
    <t xml:space="preserve">Web Scraping Engineer</t>
  </si>
  <si>
    <t xml:space="preserve">Kadoa</t>
  </si>
  <si>
    <t xml:space="preserve">distributed team with headquarters in Zurich, Switzerland  |  Remote, company HQ Zurich</t>
  </si>
  <si>
    <t xml:space="preserve">not stated, described as competitive</t>
  </si>
  <si>
    <t xml:space="preserve">Node.js, Playwright and Puppeteer, Docker. His scraping and parsing pipelines at FlowSpace are the direct evidence, and Kadoa's pitch is coding agents that build and repair ETL.</t>
  </si>
  <si>
    <t xml:space="preserve">HQ is Swiss, so confirm the contract is an EU remote engagement and not a Swiss hire. Asks 3+ years of web scraping specifically. Docker, Kubernetes and GCP named. The application asks for a GitHub username, which he does not have.</t>
  </si>
  <si>
    <t xml:space="preserve">https://www.kadoa.com/careers/web-scraping-engineer</t>
  </si>
  <si>
    <t xml:space="preserve">high - Rendered company careers page shows the single role, the distributed and Zurich line, 3+ years and email apply instructions.</t>
  </si>
  <si>
    <t xml:space="preserve">Senior Solutions Engineer</t>
  </si>
  <si>
    <t xml:space="preserve">Wiz</t>
  </si>
  <si>
    <t xml:space="preserve">Applicants must have the legal right to work in Spain without visa sponsorship  |  Spain, remote</t>
  </si>
  <si>
    <t xml:space="preserve">5 Aug 2026 per aggregator</t>
  </si>
  <si>
    <t xml:space="preserve">Customer-facing pre-sales engineering, C-level demos and technical discovery, transferable from his client-facing product work.</t>
  </si>
  <si>
    <t xml:space="preserve">Genuinely senior cloud-security role: AWS, Azure, GCP, containers, cloud identity and keys, network engineering, risk frameworks. He has none of that depth. Stretch only.</t>
  </si>
  <si>
    <t xml:space="preserve">https://job-boards.greenhouse.io/wizinc/jobs/4701893006</t>
  </si>
  <si>
    <t xml:space="preserve">medium - The Greenhouse URL 302s to wiz.io/careers which would not open, and the embed did not render. Details came from a rendered aggregator mirror.</t>
  </si>
  <si>
    <t xml:space="preserve">Partner Integration Engineer</t>
  </si>
  <si>
    <t xml:space="preserve">EPI Company</t>
  </si>
  <si>
    <t xml:space="preserve">Fluent in English (CEFR C1 or C2); French, German, Dutch, or any additional European languages are a plus  |  Belgium, remote-first</t>
  </si>
  <si>
    <t xml:space="preserve">English at C1 or C2. Other European languages explicitly only a plus, so English-only is workable.</t>
  </si>
  <si>
    <t xml:space="preserve">25 Jun 2026</t>
  </si>
  <si>
    <t xml:space="preserve">Partner-facing integration engineering on a payments API product (EPI runs Wero). Overlaps on REST APIs, webhooks, integration troubleshooting and working alongside external engineering teams, which is exactly the agency-plus-in-house coordination he did.</t>
  </si>
  <si>
    <t xml:space="preserve">Asks 5+ years working with software engineers, so roughly two years short. AWS and MongoDB listed. Payments and scheme domain is new.</t>
  </si>
  <si>
    <t xml:space="preserve">https://careers.epicompany.eu/jobs/5229601-partner-integration-engineer-remote-first</t>
  </si>
  <si>
    <t xml:space="preserve">low - careers.epicompany.eu would not open in this session. Details came from two independent rendered aggregator mirrors.</t>
  </si>
  <si>
    <t xml:space="preserve">Senior AI Engineer - Full-Stack (m/f/d)</t>
  </si>
  <si>
    <t xml:space="preserve">Holtzbrinck</t>
  </si>
  <si>
    <t xml:space="preserve">100% fully-remote (Croatia, Germany, France, Lithuania, Netherlands, Poland, Sweden, UK)  |  Remote across Croatia, Germany, France, Lithuania, Netherlands, Poland, Sweden and the UK</t>
  </si>
  <si>
    <t xml:space="preserve">English, friendly concise audience-oriented communication in written and spoken form</t>
  </si>
  <si>
    <t xml:space="preserve">React, TypeScript, Firebase and cloud alongside Python, at a global publishing and media group. The React and TypeScript half matches his work.</t>
  </si>
  <si>
    <t xml:space="preserve">Italy is NOT on the eligible country list, so he would need to be hired into one of the eight named countries. Python is a listed core stack item. Titled Senior.</t>
  </si>
  <si>
    <t xml:space="preserve">https://holtzbrinck-careers.softgarden.io/job/62651254/</t>
  </si>
  <si>
    <t xml:space="preserve">low - The softgarden host was blocked on every attempt. Title, the verbatim country list, the English line, the stack and the ATS URL all came from an openable aggregator mirror dated 31 Jul 2026.</t>
  </si>
  <si>
    <t xml:space="preserve">AI Engineer - AWS Bedrock AgentCore &amp; Production Agentic Systems | LATAM &amp; Europe</t>
  </si>
  <si>
    <t xml:space="preserve">https://weworkremotely.com/remote-jobs/toptal-ai-engineer-aws-bedrock-agentcore-production-agentic-systems-latam-europe</t>
  </si>
  <si>
    <t xml:space="preserve">Senior AI Engineer, Individual Productivity</t>
  </si>
  <si>
    <t xml:space="preserve">Intesa Sanpaolo Group</t>
  </si>
  <si>
    <t xml:space="preserve">Indeed location field: Turin, Piedmont, Italy  |  Turin, Piedmont, Italy</t>
  </si>
  <si>
    <t xml:space="preserve">Individual productivity AI at Italy's largest bank, which is internal AI enablement work.</t>
  </si>
  <si>
    <t xml:space="preserve">https://it.indeed.com/viewjob?jk=89da5c8ba1dbefe5</t>
  </si>
  <si>
    <t xml:space="preserve">Go-to-Market AI and Data (AI x Greentech) (m/f/d)</t>
  </si>
  <si>
    <t xml:space="preserve">Reonic</t>
  </si>
  <si>
    <t xml:space="preserve">C2 English proficiency is required  |  Germany, Berlin, on-site 5 days</t>
  </si>
  <si>
    <t xml:space="preserve">C2 English required. German, Italian, French or Portuguese a bonus, so his Italian counts for something.</t>
  </si>
  <si>
    <t xml:space="preserve">n8n, SQL, HubSpot and Aircall integrations, TypeScript as a bonus, modern BI</t>
  </si>
  <si>
    <t xml:space="preserve">On-site five days in Berlin, no remote. Prefers a BI or data engineering background he does not have, and weights Python and SQL heavily.</t>
  </si>
  <si>
    <t xml:space="preserve">https://www.arbeitnow.com/jobs/companies/reonic/go-to-market-ai-data-ai-x-greentech-berlin-54823</t>
  </si>
  <si>
    <t xml:space="preserve">medium - arbeitnow rendered the full description, the C2 English line, the on-site requirement and an apply path.</t>
  </si>
  <si>
    <t xml:space="preserve">Nozomi Networks</t>
  </si>
  <si>
    <t xml:space="preserve">not stated  |  Mendrisio, listed on the board as Italy, on-site</t>
  </si>
  <si>
    <t xml:space="preserve">Questa posizione e' da intendersi in presenza presso la nostra sede di Mendrisio</t>
  </si>
  <si>
    <t xml:space="preserve">about 27 Jul 2026</t>
  </si>
  <si>
    <t xml:space="preserve">JavaScript, TypeScript and React, PostgreSQL, automated testing, Agile. The front-end and database side overlaps his stack.</t>
  </si>
  <si>
    <t xml:space="preserve">ITALIAN FLAG. The description body contains Italian-language text, quoted above, which is a strong signal the working language is Italian. Also requires Ruby or a similar framework. Location is a further problem: the board lists Italy but Mendrisio is in Ticino, Switzerland, so this may be a cross-border role that does not sit under his Italian residence permit at all. Verify both language and country before applying.</t>
  </si>
  <si>
    <t xml:space="preserve">https://builtin.com/job/software-engineer-cloud-backend/6802123</t>
  </si>
  <si>
    <t xml:space="preserve">high - Rendered body showed a single Nozomi Networks posting with the Italian on-site sentence, stack list and posted date. Included specifically because the Italian-language signal needed flagging.</t>
  </si>
  <si>
    <t xml:space="preserve">Senior Fullstack Engineer (f/m/d) - Berlin / Germany, EMEA / Remote</t>
  </si>
  <si>
    <t xml:space="preserve">Hygraph</t>
  </si>
  <si>
    <t xml:space="preserve">https://himalayas.app/companies/hygraph/jobs/senior-fullstack-engineer-f-m-d-berlin-i-germany-emea-i-remote</t>
  </si>
  <si>
    <t xml:space="preserve">Associate Product Builder</t>
  </si>
  <si>
    <t xml:space="preserve">Launchmetrics (product req)</t>
  </si>
  <si>
    <t xml:space="preserve">Product - Multiple locations - Fully Remote  |  Fully remote across the listed offices, which include Milan, Paris, Girona and Madrid</t>
  </si>
  <si>
    <t xml:space="preserve">Clear communication and fluent English, plus other languages are a welcome bonus</t>
  </si>
  <si>
    <t xml:space="preserve">Prototyping with Figma and Lovable, product discovery and shipping. Direct analogue to his Bubble.io to Next.js rebuild and his AI-tool-first way of building.</t>
  </si>
  <si>
    <t xml:space="preserve">Explicitly an entry-level associate product role rather than an engineering job, so pay is likely at the low end. Confirm Milan is an accepted base. Not a coding-first title.</t>
  </si>
  <si>
    <t xml:space="preserve">https://careers.launchmetrics.com/jobs/8082265-associate-product-builder</t>
  </si>
  <si>
    <t xml:space="preserve">high - Rendered body shows the exact title, the associate-stage framing and repeated Apply for this job buttons.</t>
  </si>
  <si>
    <t xml:space="preserve">Customer Lifecycle Marketing Manager</t>
  </si>
  <si>
    <t xml:space="preserve">PubNub</t>
  </si>
  <si>
    <t xml:space="preserve">Poland - Remote  |  Poland, remote</t>
  </si>
  <si>
    <t xml:space="preserve">PLN 12k to 18k a month</t>
  </si>
  <si>
    <t xml:space="preserve">10 Jul 2026</t>
  </si>
  <si>
    <t xml:space="preserve">CRM and marketing automation platforms hands-on, nurture programs, expansion campaigns. Asks 3+ years, which he has.</t>
  </si>
  <si>
    <t xml:space="preserve">Poland residence. Lifecycle marketing strategy more than engineering. Monthly pay of roughly EUR 2,800 to 4,200 straddles his target. Tools not named.</t>
  </si>
  <si>
    <t xml:space="preserve">https://www.pubnub.com/company/careers/?gh_jid=8053195</t>
  </si>
  <si>
    <t xml:space="preserve">low - The Greenhouse URL 302s to pubnub.com which would not open, so body text is unconfirmed. Treat as unproven per the Greenhouse caveat.</t>
  </si>
  <si>
    <t xml:space="preserve">FT/PT Remote AI Prompt Engineering &amp; Evaluation - Will Train</t>
  </si>
  <si>
    <t xml:space="preserve">DataAnnotation.tech</t>
  </si>
  <si>
    <t xml:space="preserve">https://weworkremotely.com/remote-jobs/dataannotation-tech-ft-pt-remote-ai-prompt-engineering-evaluation-will-train</t>
  </si>
  <si>
    <t xml:space="preserve">GoHighLevel (GHL) Automation Specialist</t>
  </si>
  <si>
    <t xml:space="preserve">Jumpfactor</t>
  </si>
  <si>
    <t xml:space="preserve">https://himalayas.app/companies/jumpfactor/jobs/gohighlevel-ghl-automation-specialist</t>
  </si>
  <si>
    <t xml:space="preserve">AI/ML Engineer - Azure Platform &amp; GenAI Solutions</t>
  </si>
  <si>
    <t xml:space="preserve">Wypoon Technologies</t>
  </si>
  <si>
    <t xml:space="preserve">https://jobs.eu.lever.co/wypoon/136cfee2-28f2-46b0-b634-99a563b9b059</t>
  </si>
  <si>
    <t xml:space="preserve">Onboarding Specialist</t>
  </si>
  <si>
    <t xml:space="preserve">Digitail</t>
  </si>
  <si>
    <t xml:space="preserve">not stated  |  Romania, remote</t>
  </si>
  <si>
    <t xml:space="preserve">not stated, no Romanian requirement found</t>
  </si>
  <si>
    <t xml:space="preserve">21 Nov 2025 per aggregator</t>
  </si>
  <si>
    <t xml:space="preserve">Mid-level SaaS onboarding and software implementation, customer-facing throughout. Matches his work documenting business logic and taking users through a live platform migration.</t>
  </si>
  <si>
    <t xml:space="preserve">Oldest posting here by a wide margin, so staleness is a real risk. Veterinary practice-management software, so limited AI content. Least technical role on the list.</t>
  </si>
  <si>
    <t xml:space="preserve">https://digitail.factorialhr.com/job_posting/onboarding-specialist-274112</t>
  </si>
  <si>
    <t xml:space="preserve">low - digitail.factorialhr.com returned a proxy error and would not open. All details came from a rendered aggregator mirror.</t>
  </si>
  <si>
    <t xml:space="preserve">AI-Native Software Developer</t>
  </si>
  <si>
    <t xml:space="preserve">OnTheGoSystems</t>
  </si>
  <si>
    <t xml:space="preserve">https://weworkremotely.com/remote-jobs/onthegosystems-ai-native-software-developer</t>
  </si>
  <si>
    <t xml:space="preserve">Pre-Sales Solution Consultant</t>
  </si>
  <si>
    <t xml:space="preserve">Shaman</t>
  </si>
  <si>
    <t xml:space="preserve">Fluent English, verbal and written. Dutch, German, French and Italian listed as beneficial only.</t>
  </si>
  <si>
    <t xml:space="preserve">EUR 4,500 to 5,500 a month per aggregator, unconfirmed. Well above his target.</t>
  </si>
  <si>
    <t xml:space="preserve">15 Jul 2026 per aggregator</t>
  </si>
  <si>
    <t xml:space="preserve">Minimum 3 years in pre-sales, solutions engineering or technical consulting, which matches him. Client-facing discovery and demo work.</t>
  </si>
  <si>
    <t xml:space="preserve">Product knowledge required is Veeva Vault and Salesforce in a pharma context. Narrow domain, no AI or automation angle, no Veeva exposure. Salary unverified.</t>
  </si>
  <si>
    <t xml:space="preserve">https://shaman.recruitee.com/o/pre-sales-solution-consultant</t>
  </si>
  <si>
    <t xml:space="preserve">low - shaman.recruitee.com would not open in this session. All details came from a rendered aggregator mirror.</t>
  </si>
  <si>
    <t xml:space="preserve">Senior Full-Stack Engineer (Laravel/ReactJS)</t>
  </si>
  <si>
    <t xml:space="preserve">Curotec</t>
  </si>
  <si>
    <t xml:space="preserve">https://himalayas.app/companies/curotec/jobs/senior-full-stack-engineer-laravel-reactjs</t>
  </si>
  <si>
    <t xml:space="preserve">Full Stack Engineer II</t>
  </si>
  <si>
    <t xml:space="preserve">Mollie</t>
  </si>
  <si>
    <t xml:space="preserve">not stated, the posting is in English and the CV is requested in English</t>
  </si>
  <si>
    <t xml:space="preserve">React, TypeScript, API design, embedded components, end-to-end product ownership from idea through production. His FlowSpace product-plus-engineering ownership and React work map onto this well.</t>
  </si>
  <si>
    <t xml:space="preserve">No Italian requirement stated and the whole process is in English, so language risk is low. But it requires 5+ years professional software engineering with genuine full-stack capability against his 3. React Native is in the stack and he has no mobile experience. Hybrid Milan.</t>
  </si>
  <si>
    <t xml:space="preserve">https://startup.jobs/full-stack-engineer-ii-mollie-8906768</t>
  </si>
  <si>
    <t xml:space="preserve">medium - A rendered aggregator confirmed the single posting with title, Milan, posted date, the 5+ years requirement and the stack. Mollie's own careers page was not separately opened.</t>
  </si>
  <si>
    <t xml:space="preserve">SENIOR SOFTWARE ENGINEER</t>
  </si>
  <si>
    <t xml:space="preserve">Reverse (software req)</t>
  </si>
  <si>
    <t xml:space="preserve">Indeed location field: Bazzano, Emilia-Romagna, Italy  |  Bazzano, Emilia-Romagna, Italy</t>
  </si>
  <si>
    <t xml:space="preserve">https://it.indeed.com/viewjob?jk=2bde66bd81a5b2db</t>
  </si>
  <si>
    <t xml:space="preserve">Operations Associate - Data and Technology</t>
  </si>
  <si>
    <t xml:space="preserve">Darkroom</t>
  </si>
  <si>
    <t xml:space="preserve">Remote (EST, 9 AM - 5 PM)  |  Remote, eligible countries listed as Brazil, Egypt, India, Portugal, Spain</t>
  </si>
  <si>
    <t xml:space="preserve">Fluent in English and comfortable in client-facing roles</t>
  </si>
  <si>
    <t xml:space="preserve">17 Jun 2026, deadline 16 Aug 2026</t>
  </si>
  <si>
    <t xml:space="preserve">Zapier, n8n, Slack, Notion, Google Workspace, Shopify, internal automation design, dashboards, SQL</t>
  </si>
  <si>
    <t xml:space="preserve">Portugal and Spain are the EU options, so relocation. US Eastern 9 to 5 means roughly 3pm to 11pm from Italy. BigQuery, SQL and Python listed. Reports to the VP of Finance. Closes 16 Aug.</t>
  </si>
  <si>
    <t xml:space="preserve">https://himalayas.app/companies/darkroom/jobs/operations-associate-data-technology</t>
  </si>
  <si>
    <t xml:space="preserve">medium - Himalayas rendered title, the EST hours line, eligible countries, skills and apply path.</t>
  </si>
  <si>
    <t xml:space="preserve">AI Adoption Officer</t>
  </si>
  <si>
    <t xml:space="preserve">MMDSmart Ltd</t>
  </si>
  <si>
    <t xml:space="preserve">https://jobs.workable.com/view/qhTB69SyybzJ77ttkP513L/remote-ai-adoption-officer-in-poland-at-mmdsmart-ltd</t>
  </si>
  <si>
    <t xml:space="preserve">Product Engineer - Remote in Europe</t>
  </si>
  <si>
    <t xml:space="preserve">Opply</t>
  </si>
  <si>
    <t xml:space="preserve">https://opply-1682428990.teamtailor.com/jobs/6710160-product-engineer-remote-in-europe</t>
  </si>
  <si>
    <t xml:space="preserve">Fullstack Developer</t>
  </si>
  <si>
    <t xml:space="preserve">Pixel Service &amp; Consulting</t>
  </si>
  <si>
    <t xml:space="preserve">https://himalayas.app/companies/pixel-service-consulting/jobs/fullstack-developer</t>
  </si>
  <si>
    <t xml:space="preserve">Design Engineer, Technical Designer, or PM</t>
  </si>
  <si>
    <t xml:space="preserve">Cogram (second req)</t>
  </si>
  <si>
    <t xml:space="preserve">Berlin, BE, DE / London, England, GB / Remote  |  Remote, CET plus or minus 3 hours, so Venice qualifies</t>
  </si>
  <si>
    <t xml:space="preserve">EUR 70K to 130K</t>
  </si>
  <si>
    <t xml:space="preserve">Product-and-build hybrid at an AI company, asking only 1+ years. Maps onto his engineer-who-also-owned-product shape better than any pure engineering req found.</t>
  </si>
  <si>
    <t xml:space="preserve">A three-way blend, so the actual brief will only be clear at interview. The engineering stack is Python FastAPI. Listed alongside a London site.</t>
  </si>
  <si>
    <t xml:space="preserve">https://www.ycombinator.com/companies/cogram/jobs</t>
  </si>
  <si>
    <t xml:space="preserve">medium - Confirmed from the rendered YC company jobs page showing title, both locations, the EUR band, 1+ years and a per-role apply link. No standalone posting URL is exposed.</t>
  </si>
  <si>
    <t xml:space="preserve">AI/ML Engineer - Live Story</t>
  </si>
  <si>
    <t xml:space="preserve">Product Heroes</t>
  </si>
  <si>
    <t xml:space="preserve">https://himalayas.app/companies/product-heroes/jobs/ai-ml-engineer-live-story</t>
  </si>
  <si>
    <t xml:space="preserve">Staff Product Manager - AI - 100% Remote - EMEA</t>
  </si>
  <si>
    <t xml:space="preserve">Hostaway</t>
  </si>
  <si>
    <t xml:space="preserve">https://careers.hostaway.com/o/staff-product-manager-ai-remote-emea</t>
  </si>
  <si>
    <t xml:space="preserve">Senior HubSpot Platform Engineer</t>
  </si>
  <si>
    <t xml:space="preserve">Lobster</t>
  </si>
  <si>
    <t xml:space="preserve">Germany - Remote  |  Germany, remote</t>
  </si>
  <si>
    <t xml:space="preserve">Fluent in English, German listed as Nice to Have</t>
  </si>
  <si>
    <t xml:space="preserve">11 Jun 2026</t>
  </si>
  <si>
    <t xml:space="preserve">HubSpot CRM and CMS, HubSpot Serverless Functions, HubSpot API, Operations Hub, React.js, JavaScript, Git. His React plus CRM automation combination is unusual and fits well.</t>
  </si>
  <si>
    <t xml:space="preserve">Asks several years deep in the HubSpot ecosystem and is titled Senior, above his 3 years. ERP knowledge listed.</t>
  </si>
  <si>
    <t xml:space="preserve">https://lobster-data-gmbh.jobs.personio.com/job/2667990</t>
  </si>
  <si>
    <t xml:space="preserve">low - personio.com would not open in this session. Details came from a rendered aggregator page.</t>
  </si>
  <si>
    <t xml:space="preserve">In Tandem</t>
  </si>
  <si>
    <t xml:space="preserve">https://himalayas.app/companies/in-tandem/jobs/ai-engineer</t>
  </si>
  <si>
    <t xml:space="preserve">LinkedIn finds</t>
  </si>
  <si>
    <t xml:space="preserve">Harvested from LinkedIn job search in a signed-in browser on 6 August 2026. Every row was confirmed present and dated on LinkedIn, but the posting bodies were NOT opened one by one, so eligibility, language and pay on this tab are unverified and the tier is inferred from the LinkedIn location field alone. Treat this tab as a queue to open, not as vetted rows. LinkedIn holds far more than this: the n8n search alone returned 936 EU roles posted in one week.</t>
  </si>
  <si>
    <t xml:space="preserve">Power Platform Agentic Developer</t>
  </si>
  <si>
    <t xml:space="preserve">MC Engineering (Power Platform req)</t>
  </si>
  <si>
    <t xml:space="preserve">LinkedIn location field: Italy (remote)  |  Italy (remote)</t>
  </si>
  <si>
    <t xml:space="preserve">posted within the last 30 days</t>
  </si>
  <si>
    <t xml:space="preserve">Power Platform plus agentic development is the exact intersection of his Microsoft certifications and his n8n agent work.</t>
  </si>
  <si>
    <t xml:space="preserve">Not individually opened. Confirm eligibility, working language and pay before investing time.</t>
  </si>
  <si>
    <t xml:space="preserve">https://www.linkedin.com/jobs/view/4416294264/</t>
  </si>
  <si>
    <t xml:space="preserve">medium - LinkedIn search listing, confirmed present and dated in a signed-in browser on 6 Aug 2026. The posting body was NOT opened individually, so eligibility, language and pay are unverified.</t>
  </si>
  <si>
    <t xml:space="preserve">ShippyPro (LinkedIn listing)</t>
  </si>
  <si>
    <t xml:space="preserve">LinkedIn location field: Italy  |  Italy</t>
  </si>
  <si>
    <t xml:space="preserve">This is the LinkedIn route to the same ShippyPro role that is stuck behind the join.com sign-in wall. Applying here may bypass that blocker entirely, which makes it the single most actionable row added today.</t>
  </si>
  <si>
    <t xml:space="preserve">https://www.linkedin.com/jobs/view/4445848675/</t>
  </si>
  <si>
    <t xml:space="preserve">GenAI Engineer</t>
  </si>
  <si>
    <t xml:space="preserve">Avangarde Consulting</t>
  </si>
  <si>
    <t xml:space="preserve">Surfaced by a LinkedIn keyword search on n8n, automation and AI engineer, filtered to Italy and remote.</t>
  </si>
  <si>
    <t xml:space="preserve">https://www.linkedin.com/jobs/view/4440116826/</t>
  </si>
  <si>
    <t xml:space="preserve">AI Automation Engineer</t>
  </si>
  <si>
    <t xml:space="preserve">MC Engineering</t>
  </si>
  <si>
    <t xml:space="preserve">Location field is Italy with a remote filter applied, so this may be remote-from-Venice.</t>
  </si>
  <si>
    <t xml:space="preserve">https://www.linkedin.com/jobs/view/4416402281/</t>
  </si>
  <si>
    <t xml:space="preserve">Applied AI Engineer</t>
  </si>
  <si>
    <t xml:space="preserve">Azienda Anonima (undisclosed employer)</t>
  </si>
  <si>
    <t xml:space="preserve">Employer is undisclosed on the listing.</t>
  </si>
  <si>
    <t xml:space="preserve">https://www.linkedin.com/jobs/view/4447533037/</t>
  </si>
  <si>
    <t xml:space="preserve">Fullstack AI Engineer</t>
  </si>
  <si>
    <t xml:space="preserve">Azienda Anonima (undisclosed, fullstack req)</t>
  </si>
  <si>
    <t xml:space="preserve">Employer undisclosed. Fullstack plus AI is his exact shape.</t>
  </si>
  <si>
    <t xml:space="preserve">https://www.linkedin.com/jobs/view/4447529645/</t>
  </si>
  <si>
    <t xml:space="preserve">Agentic Builder</t>
  </si>
  <si>
    <t xml:space="preserve">Emplifi</t>
  </si>
  <si>
    <t xml:space="preserve">LinkedIn location field: Prague, Czechia  |  Prague, Czechia</t>
  </si>
  <si>
    <t xml:space="preserve">needs checking</t>
  </si>
  <si>
    <t xml:space="preserve">6 days ago</t>
  </si>
  <si>
    <t xml:space="preserve">Agentic Builder is close to a literal description of his n8n work.</t>
  </si>
  <si>
    <t xml:space="preserve">https://www.linkedin.com/jobs/view/4416885598/</t>
  </si>
  <si>
    <t xml:space="preserve">Workplace AI Automation Engineer</t>
  </si>
  <si>
    <t xml:space="preserve">Sogeti (workplace req)</t>
  </si>
  <si>
    <t xml:space="preserve">LinkedIn location field: Utrecht, Netherlands  |  Utrecht, Netherlands</t>
  </si>
  <si>
    <t xml:space="preserve">4 days ago</t>
  </si>
  <si>
    <t xml:space="preserve">Workplace automation is where his Copilot Studio and Power Automate certifications actually count.</t>
  </si>
  <si>
    <t xml:space="preserve">https://www.linkedin.com/jobs/view/4428825661/</t>
  </si>
  <si>
    <t xml:space="preserve">AI and Automation Specialist (gn)</t>
  </si>
  <si>
    <t xml:space="preserve">SoftwareOne</t>
  </si>
  <si>
    <t xml:space="preserve">LinkedIn location field: Milan, Lombardy, Italy  |  Milan, Lombardy, Italy</t>
  </si>
  <si>
    <t xml:space="preserve">SoftwareOne is a global Microsoft partner, which is where his Copilot Studio and Power Automate certifications carry weight.</t>
  </si>
  <si>
    <t xml:space="preserve">https://www.linkedin.com/jobs/view/4443816208/</t>
  </si>
  <si>
    <t xml:space="preserve">AI Engineer, GenAI and LLM</t>
  </si>
  <si>
    <t xml:space="preserve">Lutech (Cosenza)</t>
  </si>
  <si>
    <t xml:space="preserve">LinkedIn location field: Cosenza, Calabria, Italy  |  Cosenza, Calabria, Italy</t>
  </si>
  <si>
    <t xml:space="preserve">https://www.linkedin.com/jobs/view/4447996831/</t>
  </si>
  <si>
    <t xml:space="preserve">AI Engineer (GenAI and LLM)</t>
  </si>
  <si>
    <t xml:space="preserve">Proxima Group</t>
  </si>
  <si>
    <t xml:space="preserve">LinkedIn location field: Rome, Latium, Italy  |  Rome, Latium, Italy</t>
  </si>
  <si>
    <t xml:space="preserve">https://www.linkedin.com/jobs/view/4440157888/</t>
  </si>
  <si>
    <t xml:space="preserve">AI Engineer (Generative AI and LLM)</t>
  </si>
  <si>
    <t xml:space="preserve">Best Engage</t>
  </si>
  <si>
    <t xml:space="preserve">https://www.linkedin.com/jobs/view/4439151703/</t>
  </si>
  <si>
    <t xml:space="preserve">Applied AI and Automations</t>
  </si>
  <si>
    <t xml:space="preserve">hansetherm</t>
  </si>
  <si>
    <t xml:space="preserve">LinkedIn location field: Hamburg, Germany  |  Hamburg, Germany</t>
  </si>
  <si>
    <t xml:space="preserve">2 days ago</t>
  </si>
  <si>
    <t xml:space="preserve">Surfaced by a LinkedIn keyword search on n8n. Open the posting to confirm the stack.</t>
  </si>
  <si>
    <t xml:space="preserve">https://www.linkedin.com/jobs/view/4446249585/</t>
  </si>
  <si>
    <t xml:space="preserve">AI Specialist</t>
  </si>
  <si>
    <t xml:space="preserve">North Bucharest Investments</t>
  </si>
  <si>
    <t xml:space="preserve">LinkedIn location field: Bucharest, Romania  |  Bucharest, Romania</t>
  </si>
  <si>
    <t xml:space="preserve">5 hours ago, be an early applicant</t>
  </si>
  <si>
    <t xml:space="preserve">https://www.linkedin.com/jobs/view/4448096852/</t>
  </si>
  <si>
    <t xml:space="preserve">Automation and Analytics Specialist</t>
  </si>
  <si>
    <t xml:space="preserve">Webbing</t>
  </si>
  <si>
    <t xml:space="preserve">https://www.linkedin.com/jobs/view/4439731054/</t>
  </si>
  <si>
    <t xml:space="preserve">Workflow Specialist (m/w/d)</t>
  </si>
  <si>
    <t xml:space="preserve">Burgermeister</t>
  </si>
  <si>
    <t xml:space="preserve">LinkedIn location field: Berlin, Germany  |  Berlin, Germany</t>
  </si>
  <si>
    <t xml:space="preserve">German likely, the (m/w/d) marker and a German restaurant chain</t>
  </si>
  <si>
    <t xml:space="preserve">1 day ago</t>
  </si>
  <si>
    <t xml:space="preserve">https://www.linkedin.com/jobs/view/4449477191/</t>
  </si>
  <si>
    <t xml:space="preserve">Pilex AI</t>
  </si>
  <si>
    <t xml:space="preserve">LinkedIn location field: Volendam, North Holland, Netherlands  |  Volendam, North Holland, Netherlands</t>
  </si>
  <si>
    <t xml:space="preserve">https://www.linkedin.com/jobs/view/4447987900/</t>
  </si>
  <si>
    <t xml:space="preserve">Netwrix Corporation</t>
  </si>
  <si>
    <t xml:space="preserve">LinkedIn location field: Cracow, Poland  |  Cracow, Poland</t>
  </si>
  <si>
    <t xml:space="preserve">https://www.linkedin.com/jobs/view/4448633098/</t>
  </si>
  <si>
    <t xml:space="preserve">Avanai</t>
  </si>
  <si>
    <t xml:space="preserve">5 days ago</t>
  </si>
  <si>
    <t xml:space="preserve">https://www.linkedin.com/jobs/view/4445535821/</t>
  </si>
  <si>
    <t xml:space="preserve">Super</t>
  </si>
  <si>
    <t xml:space="preserve">LinkedIn location field: Zagreb, Croatia  |  Zagreb, Croatia</t>
  </si>
  <si>
    <t xml:space="preserve">1 hour ago</t>
  </si>
  <si>
    <t xml:space="preserve">https://www.linkedin.com/jobs/view/4431403123/</t>
  </si>
  <si>
    <t xml:space="preserve">Digital Growth Agency</t>
  </si>
  <si>
    <t xml:space="preserve">LinkedIn location field: Rotterdam, Netherlands  |  Rotterdam, Netherlands</t>
  </si>
  <si>
    <t xml:space="preserve">6 days ago, be an early applicant</t>
  </si>
  <si>
    <t xml:space="preserve">https://www.linkedin.com/jobs/view/4445030623/</t>
  </si>
  <si>
    <t xml:space="preserve">Automation Engineer (m/w/d)</t>
  </si>
  <si>
    <t xml:space="preserve">Vogel Beratung</t>
  </si>
  <si>
    <t xml:space="preserve">LinkedIn location field: Munich, Germany  |  Munich, Germany</t>
  </si>
  <si>
    <t xml:space="preserve">German likely, (m/w/d) marker</t>
  </si>
  <si>
    <t xml:space="preserve">https://www.linkedin.com/jobs/view/4440855987/</t>
  </si>
  <si>
    <t xml:space="preserve">Automation Specialist (m/w/d)</t>
  </si>
  <si>
    <t xml:space="preserve">ZIRKEL8</t>
  </si>
  <si>
    <t xml:space="preserve">LinkedIn location field: Germany  |  Germany</t>
  </si>
  <si>
    <t xml:space="preserve">https://www.linkedin.com/jobs/view/4446253180/</t>
  </si>
  <si>
    <t xml:space="preserve">AI and automation builder</t>
  </si>
  <si>
    <t xml:space="preserve">Dicar Motorhomes</t>
  </si>
  <si>
    <t xml:space="preserve">LinkedIn location field: Geel, Flemish Region, Belgium  |  Geel, Flemish Region, Belgium</t>
  </si>
  <si>
    <t xml:space="preserve">Dutch likely, Flemish employer</t>
  </si>
  <si>
    <t xml:space="preserve">https://www.linkedin.com/jobs/view/4447125262/</t>
  </si>
  <si>
    <t xml:space="preserve">Kijimea (SYNformulas GmbH)</t>
  </si>
  <si>
    <t xml:space="preserve">3 days ago</t>
  </si>
  <si>
    <t xml:space="preserve">https://www.linkedin.com/jobs/view/4441023666/</t>
  </si>
  <si>
    <t xml:space="preserve">AI Automations Specialist</t>
  </si>
  <si>
    <t xml:space="preserve">Teams Squared</t>
  </si>
  <si>
    <t xml:space="preserve">LinkedIn location field: Romania  |  Romania</t>
  </si>
  <si>
    <t xml:space="preserve">https://www.linkedin.com/jobs/view/4448984192/</t>
  </si>
  <si>
    <t xml:space="preserve">Automation Engineer</t>
  </si>
  <si>
    <t xml:space="preserve">Sogeti</t>
  </si>
  <si>
    <t xml:space="preserve">https://www.linkedin.com/jobs/view/4437411822/</t>
  </si>
  <si>
    <t xml:space="preserve">TELUS Digital</t>
  </si>
  <si>
    <t xml:space="preserve">LinkedIn location field: Sofia, Bulgaria  |  Sofia, Bulgaria</t>
  </si>
  <si>
    <t xml:space="preserve">5 days ago, be an early applicant</t>
  </si>
  <si>
    <t xml:space="preserve">https://www.linkedin.com/jobs/view/4447197994/</t>
  </si>
  <si>
    <t xml:space="preserve">Automation Engineer - NL</t>
  </si>
  <si>
    <t xml:space="preserve">Capgemini</t>
  </si>
  <si>
    <t xml:space="preserve">Dutch possible, the NL suffix suggests a local team</t>
  </si>
  <si>
    <t xml:space="preserve">16 hours ago</t>
  </si>
  <si>
    <t xml:space="preserve">https://www.linkedin.com/jobs/view/4436225454/</t>
  </si>
  <si>
    <t xml:space="preserve">AI Automation Engineer (m/w/d)</t>
  </si>
  <si>
    <t xml:space="preserve">Evergreen Media</t>
  </si>
  <si>
    <t xml:space="preserve">LinkedIn location field: Innsbruck, Tyrol, Austria  |  Innsbruck, Tyrol, Austria</t>
  </si>
  <si>
    <t xml:space="preserve">https://www.linkedin.com/jobs/view/4447317507/</t>
  </si>
  <si>
    <t xml:space="preserve">Process Automation Manager (m/w/d)</t>
  </si>
  <si>
    <t xml:space="preserve">Holzhey-Consulting GmbH</t>
  </si>
  <si>
    <t xml:space="preserve">LinkedIn location field: Mannheim, Germany  |  Mannheim, Germany</t>
  </si>
  <si>
    <t xml:space="preserve">https://www.linkedin.com/jobs/view/4445586742/</t>
  </si>
  <si>
    <t xml:space="preserve">AI Enablement Specialist</t>
  </si>
  <si>
    <t xml:space="preserve">Omaze</t>
  </si>
  <si>
    <t xml:space="preserve">AI enablement inside a non-tech business is the lane where his certifications and his n8n work combine.</t>
  </si>
  <si>
    <t xml:space="preserve">https://www.linkedin.com/jobs/view/4429696197/</t>
  </si>
  <si>
    <t xml:space="preserve">AI and Automation Manager (m/w/d)</t>
  </si>
  <si>
    <t xml:space="preserve">assentio GmbH</t>
  </si>
  <si>
    <t xml:space="preserve">LinkedIn location field: Leipzig, Germany  |  Leipzig, Germany</t>
  </si>
  <si>
    <t xml:space="preserve">https://www.linkedin.com/jobs/view/4445518098/</t>
  </si>
  <si>
    <t xml:space="preserve">Integration and Automation Specialist</t>
  </si>
  <si>
    <t xml:space="preserve">BeeBase</t>
  </si>
  <si>
    <t xml:space="preserve">LinkedIn location field: Spain  |  Spain</t>
  </si>
  <si>
    <t xml:space="preserve">1 day ago, be an early applicant</t>
  </si>
  <si>
    <t xml:space="preserve">https://www.linkedin.com/jobs/view/4447377627/</t>
  </si>
  <si>
    <t xml:space="preserve">AI Consultant, Use Cases and Automation</t>
  </si>
  <si>
    <t xml:space="preserve">Spartif</t>
  </si>
  <si>
    <t xml:space="preserve">LinkedIn location field: Hengelo, Overijssel, Netherlands  |  Hengelo, Overijssel, Netherlands</t>
  </si>
  <si>
    <t xml:space="preserve">Dutch possible</t>
  </si>
  <si>
    <t xml:space="preserve">https://www.linkedin.com/jobs/view/4447361781/</t>
  </si>
  <si>
    <t xml:space="preserve">Hillewaere Insurance | ICS</t>
  </si>
  <si>
    <t xml:space="preserve">LinkedIn location field: Turnhout, Flemish Region, Belgium  |  Turnhout, Flemish Region, Belgium</t>
  </si>
  <si>
    <t xml:space="preserve">https://www.linkedin.com/jobs/view/4448582882/</t>
  </si>
  <si>
    <t xml:space="preserve">Business Automation Manager (m/w/d)</t>
  </si>
  <si>
    <t xml:space="preserve">TeleClinic</t>
  </si>
  <si>
    <t xml:space="preserve">https://www.linkedin.com/jobs/view/4447989368/</t>
  </si>
  <si>
    <t xml:space="preserve">AI Automation Specialist (m/w/d)</t>
  </si>
  <si>
    <t xml:space="preserve">BMMC BerlinMed Medical Consulting GmbH</t>
  </si>
  <si>
    <t xml:space="preserve">LinkedIn location field: Berlin Metropolitan Area, Germany  |  Berlin Metropolitan Area, Germany</t>
  </si>
  <si>
    <t xml:space="preserve">https://www.linkedin.com/jobs/view/4446223655/</t>
  </si>
  <si>
    <t xml:space="preserve">AI Integration Specialist</t>
  </si>
  <si>
    <t xml:space="preserve">Innoworks</t>
  </si>
  <si>
    <t xml:space="preserve">LinkedIn location field: Enschede, Overijssel, Netherlands  |  Enschede, Overijssel, Netherlands</t>
  </si>
  <si>
    <t xml:space="preserve">https://www.linkedin.com/jobs/view/4447334123/</t>
  </si>
  <si>
    <t xml:space="preserve">AI and Automation Engineer (Liege, Belgium)</t>
  </si>
  <si>
    <t xml:space="preserve">GAMING1</t>
  </si>
  <si>
    <t xml:space="preserve">LinkedIn location field: Liege, Walloon Region, Belgium  |  Liege, Walloon Region, Belgium</t>
  </si>
  <si>
    <t xml:space="preserve">French likely, Walloon employer</t>
  </si>
  <si>
    <t xml:space="preserve">https://www.linkedin.com/jobs/view/4447219331/</t>
  </si>
  <si>
    <t xml:space="preserve">AI Solutions Specialist</t>
  </si>
  <si>
    <t xml:space="preserve">NMS Market Research Czech</t>
  </si>
  <si>
    <t xml:space="preserve">LinkedIn location field: Prague 5, Czechia  |  Prague 5, Czechia</t>
  </si>
  <si>
    <t xml:space="preserve">2 hours ago, be an early applicant</t>
  </si>
  <si>
    <t xml:space="preserve">https://www.linkedin.com/jobs/view/4450238978/</t>
  </si>
  <si>
    <t xml:space="preserve">Spandex Italia</t>
  </si>
  <si>
    <t xml:space="preserve">LinkedIn location field: Bologna, Emilia-Romagna, Italy  |  Bologna, Emilia-Romagna, Italy</t>
  </si>
  <si>
    <t xml:space="preserve">https://www.linkedin.com/jobs/view/4438594658/</t>
  </si>
  <si>
    <t xml:space="preserve">Ideofarm</t>
  </si>
  <si>
    <t xml:space="preserve">LinkedIn location field: Florence, Tuscany, Italy  |  Florence, Tuscany, Italy</t>
  </si>
  <si>
    <t xml:space="preserve">https://www.linkedin.com/jobs/view/4431221667/</t>
  </si>
  <si>
    <t xml:space="preserve">Generali Italia</t>
  </si>
  <si>
    <t xml:space="preserve">https://www.linkedin.com/jobs/view/4437819726/</t>
  </si>
  <si>
    <t xml:space="preserve">BDO Italia</t>
  </si>
  <si>
    <t xml:space="preserve">https://www.linkedin.com/jobs/view/4442864790/</t>
  </si>
  <si>
    <t xml:space="preserve">AI Workflow and Agent Builder</t>
  </si>
  <si>
    <t xml:space="preserve">Unobravo</t>
  </si>
  <si>
    <t xml:space="preserve">AI Workflow and Agent Builder is close to a literal description of what he does in n8n. Unobravo is a large Italian online therapy platform, so the product is workflow-shaped.</t>
  </si>
  <si>
    <t xml:space="preserve">https://www.linkedin.com/jobs/view/4445925920/</t>
  </si>
  <si>
    <t xml:space="preserve">Selection 4.0 SA</t>
  </si>
  <si>
    <t xml:space="preserve">https://www.linkedin.com/jobs/view/4444437033/</t>
  </si>
  <si>
    <t xml:space="preserve">Automation Specialist</t>
  </si>
  <si>
    <t xml:space="preserve">Stanhome Italia</t>
  </si>
  <si>
    <t xml:space="preserve">https://www.linkedin.com/jobs/view/4439027450/</t>
  </si>
  <si>
    <t xml:space="preserve">Experienced, Agentic GenAI and Hyper-Automation</t>
  </si>
  <si>
    <t xml:space="preserve">Deloitte (Milan)</t>
  </si>
  <si>
    <t xml:space="preserve">Hyper-automation is the consultancy term for what he builds.</t>
  </si>
  <si>
    <t xml:space="preserve">https://www.linkedin.com/jobs/view/4446033941/</t>
  </si>
  <si>
    <t xml:space="preserve">Bonatti</t>
  </si>
  <si>
    <t xml:space="preserve">LinkedIn location field: Parma, Emilia-Romagna, Italy  |  Parma, Emilia-Romagna, Italy</t>
  </si>
  <si>
    <t xml:space="preserve">https://www.linkedin.com/jobs/view/4441822374/</t>
  </si>
  <si>
    <t xml:space="preserve">Agentic AI Productivity Specialist</t>
  </si>
  <si>
    <t xml:space="preserve">Lavazza Group</t>
  </si>
  <si>
    <t xml:space="preserve">LinkedIn location field: Turin, Piedmont, Italy  |  Turin, Piedmont, Italy</t>
  </si>
  <si>
    <t xml:space="preserve">Internal AI productivity at a household-name Italian company.</t>
  </si>
  <si>
    <t xml:space="preserve">https://www.linkedin.com/jobs/view/4445374311/</t>
  </si>
  <si>
    <t xml:space="preserve">AGM SOLUTIONS</t>
  </si>
  <si>
    <t xml:space="preserve">https://www.linkedin.com/jobs/view/4444963461/</t>
  </si>
  <si>
    <t xml:space="preserve">EPICODE Institute of Technology</t>
  </si>
  <si>
    <t xml:space="preserve">LinkedIn location field: Greater Rome, Italy  |  Greater Rome, Italy</t>
  </si>
  <si>
    <t xml:space="preserve">https://www.linkedin.com/jobs/view/4448896595/</t>
  </si>
  <si>
    <t xml:space="preserve">Developer AI</t>
  </si>
  <si>
    <t xml:space="preserve">agap2 Italia</t>
  </si>
  <si>
    <t xml:space="preserve">https://www.linkedin.com/jobs/view/4444541367/</t>
  </si>
  <si>
    <t xml:space="preserve">RPA Developer (UiPath or Power Automate)</t>
  </si>
  <si>
    <t xml:space="preserve">Code Generations</t>
  </si>
  <si>
    <t xml:space="preserve">LinkedIn location field: Greater Milan, Italy  |  Greater Milan, Italy</t>
  </si>
  <si>
    <t xml:space="preserve">Power Automate is named, which he is certified in. UiPath he is not.</t>
  </si>
  <si>
    <t xml:space="preserve">https://www.linkedin.com/jobs/view/4449461841/</t>
  </si>
  <si>
    <t xml:space="preserve">TXT GROUP</t>
  </si>
  <si>
    <t xml:space="preserve">LinkedIn location field: Cologno Monzese, Lombardy, Italy  |  Cologno Monzese, Lombardy, Italy</t>
  </si>
  <si>
    <t xml:space="preserve">https://www.linkedin.com/jobs/view/4442629022/</t>
  </si>
  <si>
    <t xml:space="preserve">IT and Process Automation Specialist</t>
  </si>
  <si>
    <t xml:space="preserve">Newatt srl</t>
  </si>
  <si>
    <t xml:space="preserve">LinkedIn location field: Vezza d'Alba, Piedmont, Italy  |  Vezza d'Alba, Piedmont, Italy</t>
  </si>
  <si>
    <t xml:space="preserve">https://www.linkedin.com/jobs/view/4445909297/</t>
  </si>
  <si>
    <t xml:space="preserve">Teoresi Group</t>
  </si>
  <si>
    <t xml:space="preserve">LinkedIn location field: Modena, Emilia-Romagna, Italy  |  Modena, Emilia-Romagna, Italy</t>
  </si>
  <si>
    <t xml:space="preserve">https://www.linkedin.com/jobs/view/4431938372/</t>
  </si>
  <si>
    <t xml:space="preserve">Brightstar Italia</t>
  </si>
  <si>
    <t xml:space="preserve">https://www.linkedin.com/jobs/view/4437995961/</t>
  </si>
  <si>
    <t xml:space="preserve">KeyBiz</t>
  </si>
  <si>
    <t xml:space="preserve">https://www.linkedin.com/jobs/view/4447574100/</t>
  </si>
  <si>
    <t xml:space="preserve">GEN AI ENGINEER</t>
  </si>
  <si>
    <t xml:space="preserve">Kirey (Rome)</t>
  </si>
  <si>
    <t xml:space="preserve">https://www.linkedin.com/jobs/view/4446353743/</t>
  </si>
  <si>
    <t xml:space="preserve">AI ENGINEER, Rif.G20AIE</t>
  </si>
  <si>
    <t xml:space="preserve">ACTION ICT</t>
  </si>
  <si>
    <t xml:space="preserve">https://www.linkedin.com/jobs/view/4440161748/</t>
  </si>
  <si>
    <t xml:space="preserve">Content Automation Specialist</t>
  </si>
  <si>
    <t xml:space="preserve">Catena Media</t>
  </si>
  <si>
    <t xml:space="preserve">LinkedIn location field: Sliema, Malta  |  Sliema, Malta</t>
  </si>
  <si>
    <t xml:space="preserve">English is an official language in Malta</t>
  </si>
  <si>
    <t xml:space="preserve">Malta is English-working, which is rare and useful. Content automation at an affiliate-marketing group.</t>
  </si>
  <si>
    <t xml:space="preserve">https://www.linkedin.com/jobs/view/4435906115/</t>
  </si>
  <si>
    <t xml:space="preserve">Forward Deployed Engineer (m/w/d)</t>
  </si>
  <si>
    <t xml:space="preserve">Vogel Beratung (FDE req)</t>
  </si>
  <si>
    <t xml:space="preserve">4 hours ago</t>
  </si>
  <si>
    <t xml:space="preserve">Forward deployed is one of his best-matching title families.</t>
  </si>
  <si>
    <t xml:space="preserve">https://www.linkedin.com/jobs/view/4440970395/</t>
  </si>
  <si>
    <t xml:space="preserve">Forward Deployed Automation Engineer</t>
  </si>
  <si>
    <t xml:space="preserve">TELUS Digital (FDE req)</t>
  </si>
  <si>
    <t xml:space="preserve">Forward deployed plus automation in one title, which is the single best title match for him anywhere on this list.</t>
  </si>
  <si>
    <t xml:space="preserve">https://www.linkedin.com/jobs/view/4446928967/</t>
  </si>
  <si>
    <t xml:space="preserve">Founder's Associate (Operations and Automation)</t>
  </si>
  <si>
    <t xml:space="preserve">Spotwise.ai</t>
  </si>
  <si>
    <t xml:space="preserve">LinkedIn location field: Riga, Latvia  |  Riga, Latvia</t>
  </si>
  <si>
    <t xml:space="preserve">23 hours ago, be an early applicant</t>
  </si>
  <si>
    <t xml:space="preserve">Founder's associate on operations and automation is a generalist seat that suits his build-and-own shape.</t>
  </si>
  <si>
    <t xml:space="preserve">https://www.linkedin.com/jobs/view/4448047301/</t>
  </si>
  <si>
    <t xml:space="preserve">Jobgether (Portugal client)</t>
  </si>
  <si>
    <t xml:space="preserve">LinkedIn location field: Portugal  |  Portugal</t>
  </si>
  <si>
    <t xml:space="preserve">Jobgether screens for an undisclosed client, so expect an extra filter layer.</t>
  </si>
  <si>
    <t xml:space="preserve">https://www.linkedin.com/jobs/view/4447977775/</t>
  </si>
  <si>
    <t xml:space="preserve">Junior Business Automation and AI Manager (all genders)</t>
  </si>
  <si>
    <t xml:space="preserve">Wemolo</t>
  </si>
  <si>
    <t xml:space="preserve">Junior banding, which is unusually accessible for this title family.</t>
  </si>
  <si>
    <t xml:space="preserve">https://www.linkedin.com/jobs/view/4449635371/</t>
  </si>
  <si>
    <t xml:space="preserve">Junior AI Automation Engineer</t>
  </si>
  <si>
    <t xml:space="preserve">IMMIGRANT INVEST</t>
  </si>
  <si>
    <t xml:space="preserve">LinkedIn location field: Poland  |  Poland</t>
  </si>
  <si>
    <t xml:space="preserve">Junior banding.</t>
  </si>
  <si>
    <t xml:space="preserve">https://www.linkedin.com/jobs/view/4447996582/</t>
  </si>
  <si>
    <t xml:space="preserve">AI Automation Engineer [RAL fino a 45k]</t>
  </si>
  <si>
    <t xml:space="preserve">Datapizza</t>
  </si>
  <si>
    <t xml:space="preserve">LinkedIn location field: Monza, Lombardy, Italy  |  Monza, Lombardy, Italy</t>
  </si>
  <si>
    <t xml:space="preserve">The listing publishes a salary of up to EUR 45,000, above his target band. Datapizza is a well-known Italian tech community and recruiter.</t>
  </si>
  <si>
    <t xml:space="preserve">https://www.linkedin.com/jobs/view/4448883625/</t>
  </si>
  <si>
    <t xml:space="preserve">AI Specialist and Automazione dei Processi</t>
  </si>
  <si>
    <t xml:space="preserve">P4I, Digital360 Advisory</t>
  </si>
  <si>
    <t xml:space="preserve">Title is partly in Italian, so Italian is near-certain.</t>
  </si>
  <si>
    <t xml:space="preserve">https://www.linkedin.com/jobs/view/4443284894/</t>
  </si>
  <si>
    <t xml:space="preserve">AI Forward Deployed Engineer</t>
  </si>
  <si>
    <t xml:space="preserve">Devoteam</t>
  </si>
  <si>
    <t xml:space="preserve">Forward deployed plus AI at a large European consultancy. One of the best title matches in the Italian set.</t>
  </si>
  <si>
    <t xml:space="preserve">https://www.linkedin.com/jobs/view/4446991563/</t>
  </si>
  <si>
    <t xml:space="preserve">UMANA SPA</t>
  </si>
  <si>
    <t xml:space="preserve">LinkedIn location field: Pordenone, Friuli-Venezia Giulia, Italy  |  Pordenone, Friuli-Venezia Giulia, Italy</t>
  </si>
  <si>
    <t xml:space="preserve">Pordenone is about 90 minutes from Venice. Umana is a staffing agency, so the end employer is unnamed.</t>
  </si>
  <si>
    <t xml:space="preserve">https://www.linkedin.com/jobs/view/4445097573/</t>
  </si>
  <si>
    <t xml:space="preserve">Generative AI Expert for Verification Automation</t>
  </si>
  <si>
    <t xml:space="preserve">STMicroelectronics Italia</t>
  </si>
  <si>
    <t xml:space="preserve">LinkedIn location field: Agrate Brianza, Lombardy, Italy  |  Agrate Brianza, Lombardy, Italy</t>
  </si>
  <si>
    <t xml:space="preserve">Hardware verification domain, likely a poor fit despite the automation wording.</t>
  </si>
  <si>
    <t xml:space="preserve">https://www.linkedin.com/jobs/view/4445643134/</t>
  </si>
  <si>
    <t xml:space="preserve">AI Software Engineer (GenAI, Virtual Agent)</t>
  </si>
  <si>
    <t xml:space="preserve">Avanade</t>
  </si>
  <si>
    <t xml:space="preserve">Avanade is the Accenture and Microsoft joint venture, so his Copilot Studio and Power Automate certifications are directly on-brand here.</t>
  </si>
  <si>
    <t xml:space="preserve">https://www.linkedin.com/jobs/view/4432839113/</t>
  </si>
  <si>
    <t xml:space="preserve">Vibe Coder</t>
  </si>
  <si>
    <t xml:space="preserve">Remote Leverage</t>
  </si>
  <si>
    <t xml:space="preserve">LinkedIn location field: European Union  |  European Union</t>
  </si>
  <si>
    <t xml:space="preserve">20 hours ago</t>
  </si>
  <si>
    <t xml:space="preserve">Location field is literally European Union, so no country gate. Vibe Coder means AI-assisted building, which is how he works.</t>
  </si>
  <si>
    <t xml:space="preserve">https://www.linkedin.com/jobs/view/4448398622/</t>
  </si>
  <si>
    <t xml:space="preserve">Digital and AI Transformation Consultant (m/f/x)</t>
  </si>
  <si>
    <t xml:space="preserve">Mitsui Chemicals Group</t>
  </si>
  <si>
    <t xml:space="preserve">LinkedIn location field: Cluj-Napoca, Romania  |  Cluj-Napoca, Romania</t>
  </si>
  <si>
    <t xml:space="preserve">https://www.linkedin.com/jobs/view/4399694891/</t>
  </si>
  <si>
    <t xml:space="preserve">Platform Engineer with AI</t>
  </si>
  <si>
    <t xml:space="preserve">NTT DATA Europe and Latam</t>
  </si>
  <si>
    <t xml:space="preserve">LinkedIn location field: Ro, Emilia-Romagna, Italy  |  Ro, Emilia-Romagna, Italy</t>
  </si>
  <si>
    <t xml:space="preserve">https://www.linkedin.com/jobs/view/4433111445/</t>
  </si>
  <si>
    <t xml:space="preserve">No-Code / Low-Code Automatisierungsexperte, Vollzeit (m/w/d)</t>
  </si>
  <si>
    <t xml:space="preserve">stefanmueller.ai</t>
  </si>
  <si>
    <t xml:space="preserve">LinkedIn location field: Neu Ulm, Bavaria, Germany  |  Neu Ulm, Bavaria, Germany</t>
  </si>
  <si>
    <t xml:space="preserve">German almost certain, the posting title is in German</t>
  </si>
  <si>
    <t xml:space="preserve">8 hours ago</t>
  </si>
  <si>
    <t xml:space="preserve">https://www.linkedin.com/jobs/view/4450214033/</t>
  </si>
  <si>
    <t xml:space="preserve">Vacature AI Consultant</t>
  </si>
  <si>
    <t xml:space="preserve">SPECTS Data Partners</t>
  </si>
  <si>
    <t xml:space="preserve">Dutch almost certain, the word Vacature is Dutch</t>
  </si>
  <si>
    <t xml:space="preserve">2 days ago, be an early applicant</t>
  </si>
  <si>
    <t xml:space="preserve">https://www.linkedin.com/jobs/view/4448866303/</t>
  </si>
  <si>
    <t xml:space="preserve">Automatisierungs- und Integrationsspezialist, Vollzeit (m/w/d)</t>
  </si>
  <si>
    <t xml:space="preserve">stefanmueller.ai (integration req)</t>
  </si>
  <si>
    <t xml:space="preserve">German almost certain, the title is in German</t>
  </si>
  <si>
    <t xml:space="preserve">https://www.linkedin.com/jobs/view/4449996877/</t>
  </si>
  <si>
    <t xml:space="preserve">AI and IT Process Engineer</t>
  </si>
  <si>
    <t xml:space="preserve">Brixon AI</t>
  </si>
  <si>
    <t xml:space="preserve">LinkedIn location field: Msida, Malta  |  Msida, Malta</t>
  </si>
  <si>
    <t xml:space="preserve">Malta is English-working.</t>
  </si>
  <si>
    <t xml:space="preserve">https://www.linkedin.com/jobs/view/4449619696/</t>
  </si>
  <si>
    <t xml:space="preserve">Full-Stack Developer (AI-First), Junior/Mid-Level</t>
  </si>
  <si>
    <t xml:space="preserve">Insignia Group of Companies</t>
  </si>
  <si>
    <t xml:space="preserve">LinkedIn location field: Birkirkara, Malta  |  Birkirkara, Malta</t>
  </si>
  <si>
    <t xml:space="preserve">Junior to mid banding, AI-first framing, and Malta is English-working. One of the better-shaped rows here.</t>
  </si>
  <si>
    <t xml:space="preserve">https://www.linkedin.com/jobs/view/4448536145/</t>
  </si>
  <si>
    <t xml:space="preserve">VCFC.Finance</t>
  </si>
  <si>
    <t xml:space="preserve">Same shape and location as the Insignia req, possibly the same underlying role.</t>
  </si>
  <si>
    <t xml:space="preserve">https://www.linkedin.com/jobs/view/4448553071/</t>
  </si>
  <si>
    <t xml:space="preserve">Artificial Intelligence Engineer</t>
  </si>
  <si>
    <t xml:space="preserve">Arsenalia (Mestre)</t>
  </si>
  <si>
    <t xml:space="preserve">LinkedIn location field: Mestre, Veneto, Italy  |  Mestre, Veneto, Italy</t>
  </si>
  <si>
    <t xml:space="preserve">MESTRE IS VENICE. This is a commutable, in-his-own-city AI Engineer role, and Arsenalia is the company whose motivation letter his whole letter bank was adapted from, so there is existing context to reference.</t>
  </si>
  <si>
    <t xml:space="preserve">https://www.linkedin.com/jobs/view/4436845106/</t>
  </si>
  <si>
    <t xml:space="preserve">Prompt Engineer / KI Spezialist, Vollzeit (m/w/d)</t>
  </si>
  <si>
    <t xml:space="preserve">stefanmueller.ai (prompt req)</t>
  </si>
  <si>
    <t xml:space="preserve">German almost certain, KI is the German term for AI</t>
  </si>
  <si>
    <t xml:space="preserve">7 hours ago</t>
  </si>
  <si>
    <t xml:space="preserve">https://www.linkedin.com/jobs/view/4450200824/</t>
  </si>
  <si>
    <t xml:space="preserve">AI Agents Solutions Architect, Finance</t>
  </si>
  <si>
    <t xml:space="preserve">Kraken</t>
  </si>
  <si>
    <t xml:space="preserve">LinkedIn location field: Cyprus  |  Cyprus</t>
  </si>
  <si>
    <t xml:space="preserve">Kraken is a large crypto exchange that hires remotely and pays well above his band. Architect title is a stretch on 3 years.</t>
  </si>
  <si>
    <t xml:space="preserve">https://www.linkedin.com/jobs/view/4390700737/</t>
  </si>
  <si>
    <t xml:space="preserve">Automatisierungsexperte (m/w/d), Vollzeit</t>
  </si>
  <si>
    <t xml:space="preserve">Instaffo</t>
  </si>
  <si>
    <t xml:space="preserve">LinkedIn location field: Gifhorn, Lower Saxony, Germany  |  Gifhorn, Lower Saxony, Germany</t>
  </si>
  <si>
    <t xml:space="preserve">2 hours ago</t>
  </si>
  <si>
    <t xml:space="preserve">https://www.linkedin.com/jobs/view/4365608899/</t>
  </si>
  <si>
    <t xml:space="preserve">FlowSpace-like platforms</t>
  </si>
  <si>
    <t xml:space="preserve">Coworking, desk booking, short-stay rental, hospitality tech and travel booking. His Office RnD, Nexudus and Clubee integration work plus the listings pipeline is a scarce credential in this column.</t>
  </si>
  <si>
    <t xml:space="preserve">Domain edge - why his FlowSpace work is rare here</t>
  </si>
  <si>
    <t xml:space="preserve">ShippyPro</t>
  </si>
  <si>
    <t xml:space="preserve">Remote  |  Remote, Italy-based company</t>
  </si>
  <si>
    <t xml:space="preserve">English, no language requirement listed</t>
  </si>
  <si>
    <t xml:space="preserve">EUR 29,000 to 35,000 a year</t>
  </si>
  <si>
    <t xml:space="preserve">3 Jul 2026, updated 5 Aug</t>
  </si>
  <si>
    <t xml:space="preserve">Booking and listings platform, same product shape as FlowSpace.</t>
  </si>
  <si>
    <t xml:space="preserve">Claude and ChatGPT environments, Python, JavaScript, Node.js, APIs, webhooks, automation platforms, HubSpot APIs, MCP servers, agents</t>
  </si>
  <si>
    <t xml:space="preserve">Python sits alongside JS/Node so lead with n8n and Node. Salary is at the bottom of his band. join.com sign-in wall.</t>
  </si>
  <si>
    <t xml:space="preserve">https://join.com/companies/shippypro953/16512307-gtm-engineer</t>
  </si>
  <si>
    <t xml:space="preserve">high - Rendered join.com body showed title, salary line, employment type and a working Apply now button.</t>
  </si>
  <si>
    <t xml:space="preserve">AI Engineer - Agentic Experience (all genders)</t>
  </si>
  <si>
    <t xml:space="preserve">Holidu</t>
  </si>
  <si>
    <t xml:space="preserve">not stated  |  Munich, Germany</t>
  </si>
  <si>
    <t xml:space="preserve">not stated, the posting is English only</t>
  </si>
  <si>
    <t xml:space="preserve">Holidu is a holiday-rental search and booking marketplace and this team builds agentic experiences over that booking and listings inventory. His n8n plus OpenAI and Anthropic agent work sat on top of a coworking booking and listings catalogue, which is the same shape of data.</t>
  </si>
  <si>
    <t xml:space="preserve">Asks 2 to 5 years, his exact band. ReactJS and PostgreSQL are on his CV, and the posting says proficiency with AI coding tools such as Claude Code matters. It states plainly that the backend language matters less than the thinking.</t>
  </si>
  <si>
    <t xml:space="preserve">Kotlin or Java stated as preferred and AWS plus Kubernetes named, both gaps. Treat the language line as the opening he argues through, not a free pass. Munich-based. The senior twin of this role was checked and excluded.</t>
  </si>
  <si>
    <t xml:space="preserve">https://www.holidu.com/careers/ai-engineer-agentic-experience-all-genders</t>
  </si>
  <si>
    <t xml:space="preserve">high - Rendered posting shows exact title, Munich, the 2 to 5 years line, the full stack list and a live Apply now button. Verified against Holidu's own careers list.</t>
  </si>
  <si>
    <t xml:space="preserve">Internal AI Builder</t>
  </si>
  <si>
    <t xml:space="preserve">Mews</t>
  </si>
  <si>
    <t xml:space="preserve">Coworking, short-stay rental or hotel platform. His booking and listings work reads directly onto it.</t>
  </si>
  <si>
    <t xml:space="preserve">https://www.mews.com/en/careers/jobs/4861788101?gh_jid=4861788101</t>
  </si>
  <si>
    <t xml:space="preserve">Product Engineer - Mid Level (d/f/m)</t>
  </si>
  <si>
    <t xml:space="preserve">Limehome</t>
  </si>
  <si>
    <t xml:space="preserve">Visa and Language Support: We'll support you during your visa process and with learning German on every language level after passing your probation period.  |  Hybrid Berlin or Munich, Germany</t>
  </si>
  <si>
    <t xml:space="preserve">English. German explicitly not required, offered as a supported perk.</t>
  </si>
  <si>
    <t xml:space="preserve">Limehome is a digitally operated apartment-hotel chain whose whole thesis is automating the booking-to-stay pipeline with no front desk. The role covers product surfaces around bookings and property operations, which is exactly the side he owned.</t>
  </si>
  <si>
    <t xml:space="preserve">Server-side TypeScript is a named accepted language, matching his Node and TS work. Explicitly mid-level rather than senior.</t>
  </si>
  <si>
    <t xml:space="preserve">Python is the alternative accepted language and AWS or GCP plus CDK infrastructure tooling are named, and his cloud and IaC depth is thin. Hybrid, so relocation to Berlin or Munich.</t>
  </si>
  <si>
    <t xml:space="preserve">https://career.limehome.de/o/product-engineer-mid-level-dfm</t>
  </si>
  <si>
    <t xml:space="preserve">high - Rendered page shows the exact title, hybrid Berlin and Munich location, the TypeScript-or-Python stack section and a full application form with CV upload.</t>
  </si>
  <si>
    <t xml:space="preserve">Product Builder</t>
  </si>
  <si>
    <t xml:space="preserve">https://www.mews.com/en/careers/jobs/4852746101?gh_jid=4852746101</t>
  </si>
  <si>
    <t xml:space="preserve">Senior Backend Engineer, Communications - 100% Remote - EMEA</t>
  </si>
  <si>
    <t xml:space="preserve">https://careers.hostaway.com/o/senior-backend-engineer-communications-100-remote-emea</t>
  </si>
  <si>
    <t xml:space="preserve">Senior Backend Engineer, Guest Portal - 100% Remote - EMEA</t>
  </si>
  <si>
    <t xml:space="preserve">https://careers.hostaway.com/o/senior-backend-engineer-booking-engine-remote</t>
  </si>
  <si>
    <t xml:space="preserve">Senior Growth Marketing Manager (m/f/d)</t>
  </si>
  <si>
    <t xml:space="preserve">Limehome (growth req)</t>
  </si>
  <si>
    <t xml:space="preserve">Visa and Language Support: We'll support you during your visa process and with learning German on every language level after passing your probation period.  |  Munich, Germany, remote and hybrid options stated</t>
  </si>
  <si>
    <t xml:space="preserve">German explicitly not required and offered as a supported perk. English rated in the form.</t>
  </si>
  <si>
    <t xml:space="preserve">Growth and CRO on the direct booking funnel of an apartment-hotel operator. He grew FlowSpace from 2,000 to 4,500+ users and owned lead capture and enrichment into the CRM, which is the conversion side of the same funnel.</t>
  </si>
  <si>
    <t xml:space="preserve">CRO, funnel experimentation, landing-page work on WordPress or Webflow, CRM-driven lifecycle. His Make, Zapier, n8n and Airtable stack is the natural way to run this kind of growth ops.</t>
  </si>
  <si>
    <t xml:space="preserve">Asks 5+ years in Growth Marketing, CRO or Product Marketing, his biggest seniority stretch here. It is a marketing seat rather than an engineering one, which pulls him off the technical track.</t>
  </si>
  <si>
    <t xml:space="preserve">https://career.limehome.de/o/senior-growth-marketing-manager-mfd</t>
  </si>
  <si>
    <t xml:space="preserve">high - Rendered posting shows exact title, Munich with remote and hybrid, the 5+ years line, the WordPress or Webflow tooling line, the visa and German-support paragraph and multiple Apply buttons.</t>
  </si>
  <si>
    <t xml:space="preserve">Growth Marketing Architect (f/m/d)</t>
  </si>
  <si>
    <t xml:space="preserve">Apaleo</t>
  </si>
  <si>
    <t xml:space="preserve">Fluently in English, German is a strong plus</t>
  </si>
  <si>
    <t xml:space="preserve">HubSpot, Google Analytics, Contentful, APIs, AI workflows, prompt engineering, marketing data foundations</t>
  </si>
  <si>
    <t xml:space="preserve">Berlin relocation. Architect title may imply more seniority than 3 years. Apaleo is hotel PMS software, so his booking-platform domain is a real angle here.</t>
  </si>
  <si>
    <t xml:space="preserve">https://www.arbeitnow.com/jobs/companies/apaleo/growth-marketing-architect-berlin-338944</t>
  </si>
  <si>
    <t xml:space="preserve">medium - arbeitnow rendered the full description, the English and German line and an apply path. Freshest posting in the batch.</t>
  </si>
  <si>
    <t xml:space="preserve">Product Manager, Commercial Growth</t>
  </si>
  <si>
    <t xml:space="preserve">Bob W</t>
  </si>
  <si>
    <t xml:space="preserve">We are an equal opportunity employer and value diversity at our company.  |  Tallinn, Estonia, hybrid</t>
  </si>
  <si>
    <t xml:space="preserve">not stated, the posting is English only and Bob W operates in English</t>
  </si>
  <si>
    <t xml:space="preserve">EUR 4,600 to 6,400 monthly gross, roughly EUR 55k to 77k a year, above his stated target</t>
  </si>
  <si>
    <t xml:space="preserve">Bob W is a tech-led aparthotel operator and the role owns direct booking conversion, distribution and the commercial side of the booking funnel. That is the booking and listings surface he grew from 2,000 to 4,500 users.</t>
  </si>
  <si>
    <t xml:space="preserve">Booking-flow conversion, channel and OTA distribution, funnel instrumentation, CRM and lead capture. Scoped at IC3 to IC4, a realistic band for him.</t>
  </si>
  <si>
    <t xml:space="preserve">Hybrid in Tallinn, so an Estonia move. Years of experience not published, only the IC level. Estonia is inside the directive so no sponsorship, but he still files the local permit.</t>
  </si>
  <si>
    <t xml:space="preserve">https://careers.bobw.co/jobs/7691081-product-manager-commercial-growth</t>
  </si>
  <si>
    <t xml:space="preserve">high - Rendered posting shows exact title, Tallinn, Full-time hybrid, the EUR 4,600 to 6,400 monthly gross range and an application form.</t>
  </si>
  <si>
    <t xml:space="preserve">Data Analyst</t>
  </si>
  <si>
    <t xml:space="preserve">Guesty</t>
  </si>
  <si>
    <t xml:space="preserve">Guesty is proud to be an Equal Opportunity Employer.  |  Barcelona, Spain, hybrid, office twice a week</t>
  </si>
  <si>
    <t xml:space="preserve">Strong English communication skills. Spanish not required.</t>
  </si>
  <si>
    <t xml:space="preserve">Guesty is the short-term-rental property management platform, so the analytics sit on listings, bookings, channel performance and host funnels. He built the lead capture and enrichment into CRM and the listings supply pipeline that produces exactly this data.</t>
  </si>
  <si>
    <t xml:space="preserve">Asks 3+ years, his band. SQL, funnel and conversion metrics, CRM data and marketing attribution all overlap with his CRM and lead-enrichment work.</t>
  </si>
  <si>
    <t xml:space="preserve">Expert-level SQL including window functions and query optimisation is the hard gate, and a BI tool is expected. A bachelor's in a quantitative field is listed as required and he has no CS degree. No apply button on the job page, so route via the careers index.</t>
  </si>
  <si>
    <t xml:space="preserve">https://www.guesty.com/careers-open-positions/co/barcelona/16.D6E/data-analyst/</t>
  </si>
  <si>
    <t xml:space="preserve">high - Rendered posting shows exact title, Barcelona, full-time hybrid, the 3+ years and expert-SQL requirements and the equal-opportunity line.</t>
  </si>
  <si>
    <t xml:space="preserve">Product Manager - Payments and Billing (m/f/d)</t>
  </si>
  <si>
    <t xml:space="preserve">Limehome (payments req)</t>
  </si>
  <si>
    <t xml:space="preserve">English required and rated in the form. German optional, with I don't speak German offered as a valid answer. Italian not required despite the Milan location.</t>
  </si>
  <si>
    <t xml:space="preserve">not stated, competitive salary</t>
  </si>
  <si>
    <t xml:space="preserve">Payments and billing sitting directly under the reservation flow of an apartment-hotel operator. He built the booking and checkout side of FlowSpace and the coworking-platform integrations that money moves through.</t>
  </si>
  <si>
    <t xml:space="preserve">SQL and product analytics familiarity, agile delivery, cross-department stakeholder work. A modest technical bar, and it is the only platform lead based in Italy, so no relocation and no permit step.</t>
  </si>
  <si>
    <t xml:space="preserve">Solid knowledge of EU billing and payments in hospitality is called out as a requirement and he has no payments depth. Hybrid in Milan, a move from Venice but domestic.</t>
  </si>
  <si>
    <t xml:space="preserve">https://career.limehome.de/o/product-manager-payments-billing-mfd</t>
  </si>
  <si>
    <t xml:space="preserve">high - Rendered posting shows exact title, Milan hybrid, the EU billing and payments requirement, the English and optional-German rating questions and a full apply form.</t>
  </si>
  <si>
    <t xml:space="preserve">Senior Product Builder - Product Knowledge Activation</t>
  </si>
  <si>
    <t xml:space="preserve">https://www.mews.com/en/careers/jobs/4826070101?gh_jid=4826070101</t>
  </si>
  <si>
    <t xml:space="preserve">Senior Frontend Engineer - 100% Remote - EMEA</t>
  </si>
  <si>
    <t xml:space="preserve">https://careers.hostaway.com/o/senior-frontend-engineer-100-remote-emea-1</t>
  </si>
  <si>
    <t xml:space="preserve">Senior Software Engineer (PHP)</t>
  </si>
  <si>
    <t xml:space="preserve">HomeToGo (Cracow)</t>
  </si>
  <si>
    <t xml:space="preserve">https://hometogo.jobs.personio.de/job/2728178</t>
  </si>
  <si>
    <t xml:space="preserve">Senior Full-stack Engineer (m/f/d)</t>
  </si>
  <si>
    <t xml:space="preserve">Numa</t>
  </si>
  <si>
    <t xml:space="preserve">not stated  |  Lisbon, Portugal</t>
  </si>
  <si>
    <t xml:space="preserve">Fluency in English. No other language named.</t>
  </si>
  <si>
    <t xml:space="preserve">14 Jul 2026</t>
  </si>
  <si>
    <t xml:space="preserve">Numa runs a direct-booking short-stay apartment and hotel product across European cities, and this role builds the guest-facing booking and self check-in surfaces. That is the same booking-flow and listings surface he built at FlowSpace.</t>
  </si>
  <si>
    <t xml:space="preserve">Next.js, TypeScript, React, CSS, Node.js and API design are the core requirements, matching his primary stack almost item for item.</t>
  </si>
  <si>
    <t xml:space="preserve">Asks 4+ years vs his 3. Serverless AWS (Lambda, DynamoDB, SQS, SNS) and NestJS are the main gaps. The apply flow runs through the aggregator rather than Numa's own ATS.</t>
  </si>
  <si>
    <t xml:space="preserve">https://startup.jobs/senior-full-stack-engineer-m-f-d-numa-8746112</t>
  </si>
  <si>
    <t xml:space="preserve">medium - Rendered body shows the full title, Lisbon location, requirement list and a working apply path, posted 14 Jul 2026. Numa's own careers page shows no job list at all, so the employer side could not be cross-checked.</t>
  </si>
  <si>
    <t xml:space="preserve">HomeToGo (Kaunas / Vilnius)</t>
  </si>
  <si>
    <t xml:space="preserve">https://hometogo.jobs.personio.de/job/2595767</t>
  </si>
  <si>
    <t xml:space="preserve">Salesforce &amp; GenAI Builder</t>
  </si>
  <si>
    <t xml:space="preserve">Mindspace (Warsaw)</t>
  </si>
  <si>
    <t xml:space="preserve">https://www.mindspace.me/careers/warsaw/salesforce-genai-builder/73.D67/</t>
  </si>
  <si>
    <t xml:space="preserve">Senior Backend Engineer, Developer Experience - 100% Remote - EMEA</t>
  </si>
  <si>
    <t xml:space="preserve">https://careers.hostaway.com/o/senior-backend-engineer-developer-experience-100-remote-emea</t>
  </si>
  <si>
    <t xml:space="preserve">Director of Partnerships (all genders)</t>
  </si>
  <si>
    <t xml:space="preserve">deskbird</t>
  </si>
  <si>
    <t xml:space="preserve">Based in Europe  |  Hybrid Berlin, Germany</t>
  </si>
  <si>
    <t xml:space="preserve">English. German listed only as a bonus.</t>
  </si>
  <si>
    <t xml:space="preserve">deskbird is desk and room booking software, the closest company anywhere in this sweep to FlowSpace, and partnerships there means the integration and channel relationships with workplace and coworking platforms. That is precisely the Office RnD, Nexudus and Clubee integration work he shipped.</t>
  </si>
  <si>
    <t xml:space="preserve">Integration partnerships, technical partner enablement, booking and workspace domain fluency. No coding bar.</t>
  </si>
  <si>
    <t xml:space="preserve">Hard mismatch on level: asks 8 to 12+ years in partnerships, business development or channel roles against his 3. Listed because the domain fit is the strongest available, so treat it as a networking target rather than a live application. Note deskbird's Senior Full Stack Engineer posting is now dead, it 404s.</t>
  </si>
  <si>
    <t xml:space="preserve">https://deskbird.jobs.personio.com/job/2588364</t>
  </si>
  <si>
    <t xml:space="preserve">high - Rendered posting shows exact title, hybrid Berlin, Full-time permanent, the 8 to 12+ years requirement, the German-as-bonus line, the Based in Europe requirement and an Apply button appearing twice.</t>
  </si>
  <si>
    <t xml:space="preserve">Applications submitted</t>
  </si>
  <si>
    <t xml:space="preserve">Every row was confirmed on screen in a real browser. Nothing is counted as submitted without that. Rows 1 to 30 went out on 5 August 2026, chase them on 19 August. Rows 31 to 51 went out on 6 August, chase on 20 August. Rows 31 to 39 used the previous CV; rows 40 to 51 used the edited CV with working links and AliCreates removed.</t>
  </si>
  <si>
    <t xml:space="preserve">#</t>
  </si>
  <si>
    <t xml:space="preserve">ATS</t>
  </si>
  <si>
    <t xml:space="preserve">Confirmation seen on screen</t>
  </si>
  <si>
    <t xml:space="preserve">Cover letter</t>
  </si>
  <si>
    <t xml:space="preserve">Link</t>
  </si>
  <si>
    <t xml:space="preserve">EggAI</t>
  </si>
  <si>
    <t xml:space="preserve">AI software engineer</t>
  </si>
  <si>
    <t xml:space="preserve">Greenhouse</t>
  </si>
  <si>
    <t xml:space="preserve">Confirmed - 'Thank you for applying'</t>
  </si>
  <si>
    <t xml:space="preserve">no - optional letter field left blank</t>
  </si>
  <si>
    <t xml:space="preserve">https://job-boards.eu.greenhouse.io/eggai/jobs/4772834101</t>
  </si>
  <si>
    <t xml:space="preserve">Nuitee</t>
  </si>
  <si>
    <t xml:space="preserve">https://job-boards.greenhouse.io/nuitee/jobs/4901595101</t>
  </si>
  <si>
    <t xml:space="preserve">Arize AI</t>
  </si>
  <si>
    <t xml:space="preserve">AI Sales Engineer, EMEA</t>
  </si>
  <si>
    <t xml:space="preserve">https://job-boards.greenhouse.io/arizeai/jobs/5793354004</t>
  </si>
  <si>
    <t xml:space="preserve">HiPeople</t>
  </si>
  <si>
    <t xml:space="preserve">Applied AI Engineer - Systems and Reliability</t>
  </si>
  <si>
    <t xml:space="preserve">Ashby</t>
  </si>
  <si>
    <t xml:space="preserve">Confirmed - 'Your application was successfully submitted'</t>
  </si>
  <si>
    <t xml:space="preserve">not recorded</t>
  </si>
  <si>
    <t xml:space="preserve">https://jobs.ashbyhq.com/hipeople-official/6c330d7b-7c6d-4993-8893-b58b5289d442/application</t>
  </si>
  <si>
    <t xml:space="preserve">G2i Inc.</t>
  </si>
  <si>
    <t xml:space="preserve">Senior/Staff TypeScript Engineer</t>
  </si>
  <si>
    <t xml:space="preserve">Confirmed - 'successfully submitted'</t>
  </si>
  <si>
    <t xml:space="preserve">https://jobs.ashbyhq.com/g2i/e2b998c8-7b32-4964-997c-93f1422ddff3/application</t>
  </si>
  <si>
    <t xml:space="preserve">Senior Engineer</t>
  </si>
  <si>
    <t xml:space="preserve">https://jobs.ashbyhq.com/g2i/eef73fe6-fe5f-4949-a0f7-a21853eb4179/application</t>
  </si>
  <si>
    <t xml:space="preserve">AI Solutions Manager, EMEA</t>
  </si>
  <si>
    <t xml:space="preserve">https://job-boards.greenhouse.io/arizeai/jobs/5989510004</t>
  </si>
  <si>
    <t xml:space="preserve">OpenHands</t>
  </si>
  <si>
    <t xml:space="preserve">Enterprise Agent Engineer</t>
  </si>
  <si>
    <t xml:space="preserve">https://jobs.ashbyhq.com/openhands/57564a95-13b6-47b1-b601-dd2353484e47/application</t>
  </si>
  <si>
    <t xml:space="preserve">Camunda</t>
  </si>
  <si>
    <t xml:space="preserve">AI Forward Deployed Engineer, EMEA</t>
  </si>
  <si>
    <t xml:space="preserve">not recorded. NOTE: salary field mistake flagged at the time, worth correcting if they come back</t>
  </si>
  <si>
    <t xml:space="preserve">https://jobs.ashbyhq.com/camunda/42b8007d-8299-4793-9581-2b3868ba0754/application</t>
  </si>
  <si>
    <t xml:space="preserve">Viktor</t>
  </si>
  <si>
    <t xml:space="preserve">Agent Harness Engineer</t>
  </si>
  <si>
    <t xml:space="preserve">https://jobs.ashbyhq.com/viktor/c750869a-1859-4339-bfc9-161a9ee2dc9f/application</t>
  </si>
  <si>
    <t xml:space="preserve">tem</t>
  </si>
  <si>
    <t xml:space="preserve">Senior Full Stack Engineer</t>
  </si>
  <si>
    <t xml:space="preserve">Confirmed - 'We'll review your application and contact you about next steps'</t>
  </si>
  <si>
    <t xml:space="preserve">https://jobs.ashbyhq.com/tem/9f448576-a9aa-4c38-b6eb-745b4cc1fc35/application</t>
  </si>
  <si>
    <t xml:space="preserve">Oh</t>
  </si>
  <si>
    <t xml:space="preserve">MarTech Engineer - AI and Automation</t>
  </si>
  <si>
    <t xml:space="preserve">Confirmed - 'successfully submitted. Thank you'</t>
  </si>
  <si>
    <t xml:space="preserve">https://jobs.ashbyhq.com/oh/bcb79f15-907c-48bd-b78e-fcbbd2160a3e/application</t>
  </si>
  <si>
    <t xml:space="preserve">Senior SWE - AI Interaction Evaluator (Codex / Claude Code)</t>
  </si>
  <si>
    <t xml:space="preserve">https://jobs.ashbyhq.com/g2i/86297d95-58ff-4d8b-90d9-98aff576c178/application</t>
  </si>
  <si>
    <t xml:space="preserve">Duvo Inc</t>
  </si>
  <si>
    <t xml:space="preserve">AI Platform Engineer (EU/UK Remote)</t>
  </si>
  <si>
    <t xml:space="preserve">https://jobs.ashbyhq.com/duvo/a1e5cdbc-6159-4895-8dae-cf71196550fa/application</t>
  </si>
  <si>
    <t xml:space="preserve">Sourcegraph</t>
  </si>
  <si>
    <t xml:space="preserve">Product Manager [IC4]</t>
  </si>
  <si>
    <t xml:space="preserve">Confirmed - 'Thank you for applying. Your application has been received'</t>
  </si>
  <si>
    <t xml:space="preserve">no - letter written but NOT attached, the form had no field. Follow-up email drafted, not sent.</t>
  </si>
  <si>
    <t xml:space="preserve">https://job-boards.greenhouse.io/sourcegraph91/jobs/6113147004</t>
  </si>
  <si>
    <t xml:space="preserve">Reedsy</t>
  </si>
  <si>
    <t xml:space="preserve">AI Engineer - Remote Europe</t>
  </si>
  <si>
    <t xml:space="preserve">Confirmed - 'Your application was successfully submitted! We will share an update as soon as possible.'</t>
  </si>
  <si>
    <t xml:space="preserve">n/a - form had no letter field</t>
  </si>
  <si>
    <t xml:space="preserve">https://jobs.ashbyhq.com/reedsy/b043b550-02b7-416f-8969-5db8fd9dc8ee/application</t>
  </si>
  <si>
    <t xml:space="preserve">Cohere</t>
  </si>
  <si>
    <t xml:space="preserve">Forward Deployed Engineer, Agentic Platform</t>
  </si>
  <si>
    <t xml:space="preserve">Confirmed - 'Your application has been submitted! Thank you for your interest in a career growth opportunity at Cohere!'</t>
  </si>
  <si>
    <t xml:space="preserve">https://jobs.ashbyhq.com/cohere/2d256112-b336-4539-8133-a0bf7f6698f0/application</t>
  </si>
  <si>
    <t xml:space="preserve">n8n</t>
  </si>
  <si>
    <t xml:space="preserve">Sr Growth Engineer (Fullstack TS/Vue/NodeJS)</t>
  </si>
  <si>
    <t xml:space="preserve">Confirmed - 'Your application was successfully submitted. We'll contact you if there are next steps.'</t>
  </si>
  <si>
    <t xml:space="preserve">n/a - no letter field. Note: one n8n role per 15 days, no re-apply within 90 days.</t>
  </si>
  <si>
    <t xml:space="preserve">https://jobs.ashbyhq.com/n8n/6a370ff8-e069-48ed-bffa-5716a3dbd9d5/application</t>
  </si>
  <si>
    <t xml:space="preserve">Goldsky</t>
  </si>
  <si>
    <t xml:space="preserve">Growth Engineer</t>
  </si>
  <si>
    <t xml:space="preserve">yes - Goldsky_Motivation_Letter.pdf uploaded</t>
  </si>
  <si>
    <t xml:space="preserve">https://jobs.ashbyhq.com/goldsky/790751f0-225b-4c88-ad17-58848a757e13/application</t>
  </si>
  <si>
    <t xml:space="preserve">ElevenLabs</t>
  </si>
  <si>
    <t xml:space="preserve">Forward Deployed Engineer - Software Engineer</t>
  </si>
  <si>
    <t xml:space="preserve">Confirmed - 'Thank you for applying to ElevenLabs! We'll be in touch via email shortly.'</t>
  </si>
  <si>
    <t xml:space="preserve">https://jobs.ashbyhq.com/elevenlabs/6c4c57c1-ec72-42ba-af3a-eb7aebbde2e6/application</t>
  </si>
  <si>
    <t xml:space="preserve">Musixmatch</t>
  </si>
  <si>
    <t xml:space="preserve">Product Manager, AI and Content Operations</t>
  </si>
  <si>
    <t xml:space="preserve">Lever</t>
  </si>
  <si>
    <t xml:space="preserve">Confirmed - 'Application submitted!'</t>
  </si>
  <si>
    <t xml:space="preserve">https://jobs.lever.co/musixmatch/65971c0d-8220-47eb-a993-9705dc814c92/apply</t>
  </si>
  <si>
    <t xml:space="preserve">MyEdSpace</t>
  </si>
  <si>
    <t xml:space="preserve">Senior Full-Stack Engineer</t>
  </si>
  <si>
    <t xml:space="preserve">Confirmed - 'We appreciate your interest in joining the team and look forward to reviewing your application.'</t>
  </si>
  <si>
    <t xml:space="preserve">https://jobs.ashbyhq.com/myedspacecareers/e3519a68-d9b4-43c7-9cfe-855163c284b2/application</t>
  </si>
  <si>
    <t xml:space="preserve">Eneba</t>
  </si>
  <si>
    <t xml:space="preserve">SEO Automation</t>
  </si>
  <si>
    <t xml:space="preserve">Lever (EU)</t>
  </si>
  <si>
    <t xml:space="preserve">https://jobs.eu.lever.co/eneba/df5397c1-489f-4eb9-a771-3d64eb42c86e/apply</t>
  </si>
  <si>
    <t xml:space="preserve">Supabase</t>
  </si>
  <si>
    <t xml:space="preserve">Product Manager - Marketplace</t>
  </si>
  <si>
    <t xml:space="preserve">Confirmed - 'Your application was successfully submitted.'</t>
  </si>
  <si>
    <t xml:space="preserve">n/a - unblocked once passport country and pronouns were confirmed</t>
  </si>
  <si>
    <t xml:space="preserve">https://jobs.ashbyhq.com/supabase/23c9ce7e-6b7b-4316-8f00-8f318e902441/application</t>
  </si>
  <si>
    <t xml:space="preserve">Reflow</t>
  </si>
  <si>
    <t xml:space="preserve">GTM / Growth Engineer (contract)</t>
  </si>
  <si>
    <t xml:space="preserve">n/a - this form had NO resume field at all, so no CV is on file with them</t>
  </si>
  <si>
    <t xml:space="preserve">https://jobs.ashbyhq.com/reflow/60f53162-d4d6-493f-a86b-2a4151816497/application</t>
  </si>
  <si>
    <t xml:space="preserve">Codex</t>
  </si>
  <si>
    <t xml:space="preserve">Go-To-Market (GTM) Engineer</t>
  </si>
  <si>
    <t xml:space="preserve">https://jobs.ashbyhq.com/codex/3839fbad-7966-4c19-ad0f-138d8fa47062/application</t>
  </si>
  <si>
    <t xml:space="preserve">Checkly</t>
  </si>
  <si>
    <t xml:space="preserve">Senior Sales Engineer (remote, Europe)</t>
  </si>
  <si>
    <t xml:space="preserve">Confirmed - 'Thanks for applying! We'll review your application and get back to you asap.'</t>
  </si>
  <si>
    <t xml:space="preserve">yes - full letter pasted into the Cover letter field</t>
  </si>
  <si>
    <t xml:space="preserve">https://jobs.ashbyhq.com/checkly/39dceb59-01f6-43c9-9629-1055efd9697f/application</t>
  </si>
  <si>
    <t xml:space="preserve">Jimdo</t>
  </si>
  <si>
    <t xml:space="preserve">Senior AI Engineer</t>
  </si>
  <si>
    <t xml:space="preserve">Confirmed - 'Thank you for submitting your application! You will soon receive further feedback from us.'</t>
  </si>
  <si>
    <t xml:space="preserve">n/a - form had no letter field. Cleanest eligibility of any role in three sweeps: Germany, Italy, Portugal, Spain.</t>
  </si>
  <si>
    <t xml:space="preserve">https://jobs.ashbyhq.com/jimdo.com/7059268a-22f2-4a68-9bd8-e376c67a3b7b/application</t>
  </si>
  <si>
    <t xml:space="preserve">Taxfix</t>
  </si>
  <si>
    <t xml:space="preserve">AI Automation Specialist - Marketing and GTM (d/f/m)</t>
  </si>
  <si>
    <t xml:space="preserve">Confirmed - 'Your application was successfully submitted. We'll contact you with next steps.'</t>
  </si>
  <si>
    <t xml:space="preserve">https://jobs.ashbyhq.com/taxfix.com/40703426-e9e5-4df0-9a6b-cea5526a5b05/application</t>
  </si>
  <si>
    <t xml:space="preserve">Make (Celonis)</t>
  </si>
  <si>
    <t xml:space="preserve">GTM Engineer - Revenue Programs</t>
  </si>
  <si>
    <t xml:space="preserve">Greenhouse (embed)</t>
  </si>
  <si>
    <t xml:space="preserve">Confirmed - 'Thank you for applying. You've taken the first step towards becoming our new Maker! Your profile will now be evaluated.'</t>
  </si>
  <si>
    <t xml:space="preserve">yes - full cover letter typed into the Cover Letter field</t>
  </si>
  <si>
    <t xml:space="preserve">https://job-boards.greenhouse.io/embed/job_app?for=make&amp;token=7778897003</t>
  </si>
  <si>
    <t xml:space="preserve">Timeleft</t>
  </si>
  <si>
    <t xml:space="preserve">Confirmed - 'Thank you for applying! Your application is in, and our team will review it carefully. If there's a match, we'll get in touch.'</t>
  </si>
  <si>
    <t xml:space="preserve">n/a - form had no cover letter field. Remote Europe. Sent: name, prabhavitg@gmail.com, +39 351 610 7807, CV, LinkedIn; based in Europe yes; fluent in English yes; salary EUR 30,000-40,000; visa/work permit in country of residence yes; start two weeks from an offer.</t>
  </si>
  <si>
    <t xml:space="preserve">https://job-boards.greenhouse.io/timeleft/jobs/4917404101</t>
  </si>
  <si>
    <t xml:space="preserve">JustMarkets</t>
  </si>
  <si>
    <t xml:space="preserve">Greenhouse EU</t>
  </si>
  <si>
    <t xml:space="preserve">Confirmed - 'Thank you for applying. Your application has been received and we will review it right away. If your application seems like a good fit for the position we will contact you soon.'</t>
  </si>
  <si>
    <t xml:space="preserve">n/a - form had no cover letter field. Remote Europe. Sent: name, prabhavitg@gmail.com, +39 351 610 7807, location Venice Venezia Italy, CV. Stack named in the posting is Make.com, n8n, Zapier, OpenAI and Anthropic APIs, the closest tool match of the sweep.</t>
  </si>
  <si>
    <t xml:space="preserve">https://job-boards.eu.greenhouse.io/justmarkets/jobs/4929557101</t>
  </si>
  <si>
    <t xml:space="preserve">Sporty Group</t>
  </si>
  <si>
    <t xml:space="preserve">Analytics Implementation Consultant</t>
  </si>
  <si>
    <t xml:space="preserve">Confirmed - 'Thanks for your application! Thanks so much for applying to Sporty - we're thrilled you're interested in joining our team! We've received your application and our Talent Acquisition team will be reviewing it soon.'</t>
  </si>
  <si>
    <t xml:space="preserve">yes - Sporty_Group_Motivation_Letter.pdf, written for this role on his Arsenalia blueprint at his request. Europe remote. The ONE exception to the no-cover-letter rule, at his explicit instruction. Sent: name, prabhavitg@gmail.com, +39 351 610 7807, CV, letter, LinkedIn in both LinkedIn fields and in Website/Portfolio, based Venice Italy, English proficiency yes, salary EUR 30,000-40,000, heard about us Other, GDPR Acknowledge/Confirm, accommodations Prefer not to say, years of experience 3, happy with a B2B or B2C arrangement yes, required data-processing consent ticked, optional 730-day retention consent left unticked. The letter names the GA4 and GTM gap outright rather than implying he has three years of it.</t>
  </si>
  <si>
    <t xml:space="preserve">https://job-boards.greenhouse.io/sportygroup/jobs/4933981101</t>
  </si>
  <si>
    <t xml:space="preserve">Jobgether (undisclosed employer)</t>
  </si>
  <si>
    <t xml:space="preserve">AI Platform Engineer</t>
  </si>
  <si>
    <t xml:space="preserve">n/a - form had no cover letter field. Italy remote. Sent: Prabhavit Gupta, prabhavitg@gmail.com, +39 351 610 7807, Venice Italy, FlowSpace, CV. Employer is undisclosed and Jobgether screens with AI matching before forwarding. Agent infrastructure, LLM observability, MCP servers; Python and GCP are core, so this is a stretch.</t>
  </si>
  <si>
    <t xml:space="preserve">https://jobs.lever.co/jobgether/f481d0d9-88e3-46e6-b263-0690a73d0786/apply</t>
  </si>
  <si>
    <t xml:space="preserve">Software Engineer - AI-Assisted Full-Stack Development</t>
  </si>
  <si>
    <t xml:space="preserve">n/a - form had no cover letter field. Italy remote, contractor FTE engagement model. Sent: Prabhavit Gupta, prabhavitg@gmail.com, +39 351 610 7807, Venice Italy, FlowSpace, CV. React, JavaScript, TypeScript, Node.js, REST and GraphQL. Note their resume parser overwrote the phone, location and company fields with values off the CV, so those were reset by hand before submitting.</t>
  </si>
  <si>
    <t xml:space="preserve">https://jobs.lever.co/jobgether/ba7cdbb8-ff78-4514-9974-ab8db0a51f22/apply</t>
  </si>
  <si>
    <t xml:space="preserve">n/a - form had no cover letter field. Italy remote. Full-stack with a frontend emphasis, API integration, interfaces onto AI and ML systems, rapid prototyping. Close to what he did at FlowSpace including product ownership.</t>
  </si>
  <si>
    <t xml:space="preserve">https://jobs.lever.co/jobgether/7bb350c7-d399-431a-a69f-4cd38232d71e/apply</t>
  </si>
  <si>
    <t xml:space="preserve">Product Manager, Billing Platform</t>
  </si>
  <si>
    <t xml:space="preserve">n/a - form had no cover letter field. Italy remote, USD 62,400-140,400 by location. Requires prior PM experience in billing, invoicing or payments which he does not have, so this is a stretch, but it names fluency with Cursor and Claude Code which is exactly how he works.</t>
  </si>
  <si>
    <t xml:space="preserve">https://jobs.lever.co/jobgether/e2a5be55-76e4-44f7-b7b6-2d6e54b14bed/apply</t>
  </si>
  <si>
    <t xml:space="preserve">Senior Software Engineer - PHP, TypeScript, Node.js</t>
  </si>
  <si>
    <t xml:space="preserve">n/a - form had no cover letter field. Italy remote with EMEA flexibility, based in Italy required which he is. PHP, Node.js, TypeScript, PostgreSQL. Framework is Symfony not Laravel, and Kubernetes, Terraform and Angular are in the stack, so a partial match.</t>
  </si>
  <si>
    <t xml:space="preserve">https://jobs.lever.co/jobgether/17f76227-a965-40ec-8d5b-5f98bef62e3e/apply</t>
  </si>
  <si>
    <t xml:space="preserve">Customer Success Manager (Individual Contributor)</t>
  </si>
  <si>
    <t xml:space="preserve">n/a - form had no cover letter field. Italy remote, asks 3+ years customer-facing which he has. HubSpot named. Not an engineering seat, so a sideways move. Their resume parser failed on this one and the fields had to be typed by hand.</t>
  </si>
  <si>
    <t xml:space="preserve">https://jobs.lever.co/jobgether/604e42de-5233-4d20-b7a6-6823f0d6b56d/apply</t>
  </si>
  <si>
    <t xml:space="preserve">Mendix (Siemens)</t>
  </si>
  <si>
    <t xml:space="preserve">Solutions Engineer (Core AI)</t>
  </si>
  <si>
    <t xml:space="preserve">https://jobs.lever.co/mendix/c0c545fe-53ae-4eda-869f-da2871dac697/apply</t>
  </si>
  <si>
    <t xml:space="preserve">RTB House</t>
  </si>
  <si>
    <t xml:space="preserve">Technical Account Manager BAL</t>
  </si>
  <si>
    <t xml:space="preserve">Confirmed - 'Thank you for your interest in RTB House. This is to confirm we have received your application.'</t>
  </si>
  <si>
    <t xml:space="preserve">n/a - form had no letter field. Poland remote. Answered Yes to right to work per his EU rule, Italy as country, consented to future recruitment, declined the marketing newsletter.</t>
  </si>
  <si>
    <t xml:space="preserve">https://job-boards.greenhouse.io/rtbhouse/jobs/4913268101</t>
  </si>
  <si>
    <t xml:space="preserve">Awin</t>
  </si>
  <si>
    <t xml:space="preserve">Senior AI Engineer (f/m/d)</t>
  </si>
  <si>
    <t xml:space="preserve">Confirmed - 'Thank you for applying. Your application has been received.'</t>
  </si>
  <si>
    <t xml:space="preserve">n/a - form had no letter field. Multi-city req that includes Milano. Location given as Venice, salary EUR 30,000 to 40,000, notice 2 weeks, authorised yes, sponsorship no.</t>
  </si>
  <si>
    <t xml:space="preserve">https://job-boards.greenhouse.io/awin/jobs/7720634003</t>
  </si>
  <si>
    <t xml:space="preserve">Notion Expert (Project-Based)</t>
  </si>
  <si>
    <t xml:space="preserve">n/a - form had no letter field. Italy, remote, project-based.</t>
  </si>
  <si>
    <t xml:space="preserve">https://jobs.lever.co/jobgether/ebed3f39-8988-4cda-bc1b-fc212cc8dd98/apply</t>
  </si>
  <si>
    <t xml:space="preserve">Bloomreach</t>
  </si>
  <si>
    <t xml:space="preserve">Technical Support Specialist - EMEA and US hours</t>
  </si>
  <si>
    <t xml:space="preserve">Confirmed - 'Thank you for your interest in a career at Bloomreach! We have sent you a confirmation message on your e-mail.'</t>
  </si>
  <si>
    <t xml:space="preserve">n/a - form had no letter field. Req is posted in Czechia. Answered Yes to EU eligibility and No to sponsorship, per his standing rule for EU and EEA countries. Consented to CV retention, source given as elsewhere.</t>
  </si>
  <si>
    <t xml:space="preserve">https://job-boards.greenhouse.io/bloomreach/jobs/5779409</t>
  </si>
  <si>
    <t xml:space="preserve">Oxylabs</t>
  </si>
  <si>
    <t xml:space="preserve">Software Engineer (AI Products)</t>
  </si>
  <si>
    <t xml:space="preserve">n/a - form had no letter field. Vilnius, hybrid. Ticked the box letting them contact him about future roles for 3 years.</t>
  </si>
  <si>
    <t xml:space="preserve">https://jobs.lever.co/oxylabs/8682b06a-c455-406f-ab50-65ce4c3ce318/apply</t>
  </si>
  <si>
    <t xml:space="preserve">Business Analyst (middle/senior)</t>
  </si>
  <si>
    <t xml:space="preserve">n/a - form had no letter field. Italy, remote, full time.</t>
  </si>
  <si>
    <t xml:space="preserve">https://jobs.lever.co/jobgether/b8e4e97f-2d78-41a8-a179-110fc4ed6119/apply</t>
  </si>
  <si>
    <t xml:space="preserve">Forward Deployment Engineer - Azure AI</t>
  </si>
  <si>
    <t xml:space="preserve">n/a - form had no letter field. Italy, remote.</t>
  </si>
  <si>
    <t xml:space="preserve">https://jobs.lever.co/jobgether/f5760e2d-3cd2-4df5-8650-a04a78960d32/apply</t>
  </si>
  <si>
    <t xml:space="preserve">XM</t>
  </si>
  <si>
    <t xml:space="preserve">FullStack Software Developer (React and Node.js)</t>
  </si>
  <si>
    <t xml:space="preserve">Lever EU</t>
  </si>
  <si>
    <t xml:space="preserve">n/a - form had no letter field. Applied to the Remote option rather than a Cyprus or Greece office. Salary 30000 to 40000, source other job websites, military obligations not applicable, opted in to future contact for 2 years.</t>
  </si>
  <si>
    <t xml:space="preserve">https://jobs.eu.lever.co/xm/5b5734a5-0ea7-4360-b4d1-6939aff2a621/apply</t>
  </si>
  <si>
    <t xml:space="preserve">Software Development Engineer III</t>
  </si>
  <si>
    <t xml:space="preserve">https://jobs.lever.co/jobgether/e0c2953f-0797-40d5-b9fb-ef8697bbc421/apply</t>
  </si>
  <si>
    <t xml:space="preserve">SiteGround</t>
  </si>
  <si>
    <t xml:space="preserve">Front-End Engineer (Design System)</t>
  </si>
  <si>
    <t xml:space="preserve">n/a - form had no letter field. Bulgaria. Work model given as fully remote, start two weeks from an offer, monthly gross EUR 2,500 to 3,300 which is his 30k to 40k annual range divided by twelve.</t>
  </si>
  <si>
    <t xml:space="preserve">https://jobs.lever.co/siteground/f3e78210-c419-449a-92fe-264344b90377/apply</t>
  </si>
  <si>
    <t xml:space="preserve">Upvest</t>
  </si>
  <si>
    <t xml:space="preserve">Senior IT and Automation Engineer (f/m/d)</t>
  </si>
  <si>
    <t xml:space="preserve">Confirmed - 'Success. Your application was successfully submitted. We will contact you if there are next steps.'</t>
  </si>
  <si>
    <t xml:space="preserve">n/a - form had no letter field. Berlin hybrid. Salary 30000 yearly gross, start two weeks from an offer. Ashby dropped two fields silently on the first submit, so they were retyped and verified before sending.</t>
  </si>
  <si>
    <t xml:space="preserve">https://jobs.ashbyhq.com/upvest/15f04024-1155-4c45-8bc8-40f5ba4cb4e0/application</t>
  </si>
  <si>
    <t xml:space="preserve">Superchat</t>
  </si>
  <si>
    <t xml:space="preserve">Revenue Operations Engineer, AI and Automation (m/f/d)</t>
  </si>
  <si>
    <t xml:space="preserve">Confirmed - 'Thank you for applying. Your application has been received. We will get back to you soon!'</t>
  </si>
  <si>
    <t xml:space="preserve">n/a - form had no letter field. Berlin, three days a week in office. Short form: name, email, phone, CV and a data-processing consent. The role is Make and n8n workflows plus HubSpot data flows, which is his exact FlowSpace work.</t>
  </si>
  <si>
    <t xml:space="preserve">https://job-boards.eu.greenhouse.io/superchat/jobs/4937205101</t>
  </si>
  <si>
    <t xml:space="preserve">10x Team</t>
  </si>
  <si>
    <t xml:space="preserve">Marketing Automation Specialist - AI Trainer (freelance, 8-20 hrs a week, remote)</t>
  </si>
  <si>
    <t xml:space="preserve">Confirmed - 'Success. We have received your application details, but your application is only complete once you finish the AI interview and written test via the link in your email.'</t>
  </si>
  <si>
    <t xml:space="preserve">n/a - form had no letter field. ACTION FOR HIM WITHIN 48 HOURS. Pay is EUR 83 to 140 an hour, several times his stated rate. Netherlands, contract, remote, 8 to 20 hours a week. There is an AI interview and a written test waiting in prabhavitg@gmail.com and the application does not count until he does them. Check spam.</t>
  </si>
  <si>
    <t xml:space="preserve">https://jobs.ashbyhq.com/10xteam/ba5dbf6c-98a9-4a38-be25-b1ec100e12bc/application</t>
  </si>
  <si>
    <t xml:space="preserve">Sanity</t>
  </si>
  <si>
    <t xml:space="preserve">Solutions Engineer, PreSales - Senior to Staff level (EU)</t>
  </si>
  <si>
    <t xml:space="preserve">n/a - form had no letter field. Locations are London UK, remote in Germany, remote in the UK. Based given as Venice, Italy, which is on none of those, so this is a relocate-to-Germany application. Sponsorship answered No, which is true for the Germany option but would not be for the UK ones, and the form gives no way to say which. GitHub left blank. Answered Yes to the JavaScript, React, APIs, JSON and Git question: true for the stack, though he has not done pre-sales product demos, which is the gap already priced into the fit of 82.</t>
  </si>
  <si>
    <t xml:space="preserve">https://jobs.ashbyhq.com/sanity/7bb0c4d3-10e9-4e97-91a0-cfd1d0fc980a/application</t>
  </si>
  <si>
    <t xml:space="preserve">Apify</t>
  </si>
  <si>
    <t xml:space="preserve">Support Engineer (afternoon and night shifts)</t>
  </si>
  <si>
    <t xml:space="preserve">n/a - form had no letter field. Prague, Brno or Ostrava, hybrid. Their location picker only accepts countries and Italy was accepted, so the mismatch with a Czech office is visible to them. Both discovery questions answered as a job board. Opted in to future contact for five years.</t>
  </si>
  <si>
    <t xml:space="preserve">https://jobs.ashbyhq.com/apify/08d05f4e-d727-485b-a1b7-1a6df00c225d/application</t>
  </si>
  <si>
    <t xml:space="preserve">Outset</t>
  </si>
  <si>
    <t xml:space="preserve">Forward Deployed Software Engineer (EU)</t>
  </si>
  <si>
    <t xml:space="preserve">n/a - form had no letter field. European Union, fully remote, full time, USD 180,000 to 240,000 published on the posting. The shortest form of the day: name, email, LinkedIn, CV and one sponsorship question. Answered No to needing sponsorship or a work permit in the EU.</t>
  </si>
  <si>
    <t xml:space="preserve">https://jobs.ashbyhq.com/outset/ef882074-b4bd-4e7e-b0ab-325e3c5c6a93/application</t>
  </si>
  <si>
    <t xml:space="preserve">LeadX Pro</t>
  </si>
  <si>
    <t xml:space="preserve">Platform Operations Specialist</t>
  </si>
  <si>
    <t xml:space="preserve">Confirmed - 'Success. Your application was successfully submitted. The Talent Acquisition Team will reach out soon!'</t>
  </si>
  <si>
    <t xml:space="preserve">n/a - form had no letter field. Fully remote, business development. Location Venice Italy, salary field was a single number so 30000 per his rule, English given as C2 Proficiency.</t>
  </si>
  <si>
    <t xml:space="preserve">https://jobs.ashbyhq.com/LeadX-Pro/e7d047be-5c12-411f-806e-3a08d044dafa/application</t>
  </si>
  <si>
    <t xml:space="preserve">Pliant</t>
  </si>
  <si>
    <t xml:space="preserve">Support Engineer, EU and Germany remote (m/f/d)</t>
  </si>
  <si>
    <t xml:space="preserve">Confirmed - 'Success. Your application was successfully submitted. We will take a close look at your application and be in touch soon!'</t>
  </si>
  <si>
    <t xml:space="preserve">n/a - form had no letter field. Germany remote. Address Venice Italy, based in the UK or EU answered Yes, salary EUR 30,000 to 40,000, date available 20 August 2026 which is his two-week notice from today. Referral field left blank.</t>
  </si>
  <si>
    <t xml:space="preserve">https://jobs.ashbyhq.com/pliant/581ca006-b369-4332-80de-3e383f2f101b/application</t>
  </si>
  <si>
    <t xml:space="preserve">Nebuly</t>
  </si>
  <si>
    <t xml:space="preserve">Solutions Engineer - Europe</t>
  </si>
  <si>
    <t xml:space="preserve">n/a - form had no letter field. Europe, fully remote. EUR 80,000 to 120,000 OTE plus equity and commission, published on the posting. The whole form was name, email and CV.</t>
  </si>
  <si>
    <t xml:space="preserve">https://jobs.ashbyhq.com/nebuly/fe84bdad-9414-4bfc-aa4e-9aa7f1ca742e/application</t>
  </si>
  <si>
    <t xml:space="preserve">deepset (Haystack)</t>
  </si>
  <si>
    <t xml:space="preserve">Value Engineer</t>
  </si>
  <si>
    <t xml:space="preserve">n/a - form had no letter field. Berlin or Barcelona, remote. Work authorisation given as Permanent residency, which is the accurate description of an EU long-term residence permit and the only truthful option on their list. One thing he should know: German level was a required question with no none option, so A1 was selected as the floor. If he has literally no German and would rather they knew that, tell them at first contact.</t>
  </si>
  <si>
    <t xml:space="preserve">https://jobs.ashbyhq.com/deepsetai/64ae158e-76ed-43b9-8f19-d709bd2231ee/application</t>
  </si>
  <si>
    <t xml:space="preserve">QuickNode</t>
  </si>
  <si>
    <t xml:space="preserve">Go To Market Operations Analyst</t>
  </si>
  <si>
    <t xml:space="preserve">Confirmed - 'Success. Thank you for applying to Quicknode. Your application was successfully submitted. We will contact you if there are next steps!'</t>
  </si>
  <si>
    <t xml:space="preserve">n/a - form had no letter field. United States, Canada or Portugal, remote. The Portugal band is EUR 59,000 to 65,000 plus equity and bonus, well above his ask. Answered No to US work authorisation, which is true, and left the visa-type box blank. Screening answers, all honest: multiple production automations actively used by a business, no Salesforce administration experience, and yes he regularly writes code to automate business processes.</t>
  </si>
  <si>
    <t xml:space="preserve">https://jobs.ashbyhq.com/quicknode/aa18b773-624e-4173-ab8c-fa534f3bab4b/application</t>
  </si>
  <si>
    <t xml:space="preserve">Chrono24</t>
  </si>
  <si>
    <t xml:space="preserve">(Senior) AI Platform Engineer (m/f/d)</t>
  </si>
  <si>
    <t xml:space="preserve">Personio</t>
  </si>
  <si>
    <t xml:space="preserve">Confirmed - 'THANK YOU. We have received your application and will contact you shortly!'</t>
  </si>
  <si>
    <t xml:space="preserve">n/a - form had no letter field. Remote-DE, permanent. FIRST ONE ON THE NEW NUMBER: expected salary given as EUR 40,000 to 50,000, not the old 30 to 40. Available from 20 August, authorised to work in Germany yes, interview language English, LinkedIn in the public profile field.</t>
  </si>
  <si>
    <t xml:space="preserve">https://chrono24.jobs.personio.de/job/2717899/apply?language=en</t>
  </si>
  <si>
    <t xml:space="preserve">Kota</t>
  </si>
  <si>
    <t xml:space="preserve">Forward Deployed Engineer</t>
  </si>
  <si>
    <t xml:space="preserve">Confirmed - 'Success. Thanks for applying to Kota. We are reviewing applications and aim to get back to you within 2 weeks.'</t>
  </si>
  <si>
    <t xml:space="preserve">yes - a What interests you in this role answer written on his explicit one-off instruction, drawn from his CV and the Arsenalia motivation letter voice. Dublin-listed, Location Type Remote. Their work-right question asks about the country you would be working from, which for him is Italy, so Ireland opting out of the EU long-term residence directive does not bite. Salary EUR 40,000 to 50,000 in euro, notice two weeks, opted in to future contact. The written answer leads on Kota Embed and the API-adoption work, and names FlowSpace Office RnD and Nexudus, the Bubble to Next.JS migration, Clubee and the UltraStrategy n8n parser.</t>
  </si>
  <si>
    <t xml:space="preserve">https://jobs.ashbyhq.com/kota/cf1dc9c1-dcfb-48ff-aade-8b11c5180216/application</t>
  </si>
  <si>
    <t xml:space="preserve">Bjak</t>
  </si>
  <si>
    <t xml:space="preserve">Technical Product Manager</t>
  </si>
  <si>
    <t xml:space="preserve">Confirmed - 'Success. Thank you so much for your interest in joining Bjak and considering us as part of your career journey!'</t>
  </si>
  <si>
    <t xml:space="preserve">a short message to the hiring team, written in his voice under his new 6 August rule that a generic message box is not a cover letter. Netherlands, remote. Nationality Indian, based in Italy, work visa needed answered No. The message names the FlowSpace migration and the 2,000 to 4,500 user growth, the n8n and Claude Code toolchain, and the Microsoft certifications.</t>
  </si>
  <si>
    <t xml:space="preserve">https://jobs.ashbyhq.com/bjakcareer/3ead2626-c0ad-4fd4-96c1-1e4221c7ee81/application</t>
  </si>
  <si>
    <t xml:space="preserve">Orb</t>
  </si>
  <si>
    <t xml:space="preserve">Technical Support Engineer - Amsterdam</t>
  </si>
  <si>
    <t xml:space="preserve">Confirmed - 'Success. Your application was submitted. We will reach out soon with next steps!'</t>
  </si>
  <si>
    <t xml:space="preserve">a short About you note in his voice under the 6 August message-box rule. Amsterdam, hybrid three days a week in the office, EUR 85,000 to 120,000 plus equity published. Answered Yes to the three-days-a-week question and said plainly in the note that he would relocate to Amsterdam for it, so nothing is hidden. US work authorisation answered NA applying to a non-US location, sponsorship No for the Netherlands, source online job board, pronouns He/Him.</t>
  </si>
  <si>
    <t xml:space="preserve">https://jobs.ashbyhq.com/orb/3197e844-cf70-47b2-9a90-df64393e9e5b/application</t>
  </si>
  <si>
    <t xml:space="preserve">Roles skipped because the form has a cover letter field</t>
  </si>
  <si>
    <t xml:space="preserve">His rule, 6 August 2026: do not apply where the form has a cover letter field at all, optional or required. Every role below was opened, the field was found, and nothing was submitted. The exact field label is recorded so he can see what he is walking into. These are all still open and all still applicable, they just need a letter from him first.</t>
  </si>
  <si>
    <t xml:space="preserve">Field found</t>
  </si>
  <si>
    <t xml:space="preserve">Required or optional</t>
  </si>
  <si>
    <t xml:space="preserve">Notes</t>
  </si>
  <si>
    <t xml:space="preserve">IDnow</t>
  </si>
  <si>
    <t xml:space="preserve">IT Integration Engineer (f/m/d)</t>
  </si>
  <si>
    <t xml:space="preserve">Cover Letter</t>
  </si>
  <si>
    <t xml:space="preserve">optional</t>
  </si>
  <si>
    <t xml:space="preserve">Greenhouse attach-or-type Cover Letter slot present, so left untouched per his rule. Also asks salary expectation and English/French/German level, all answerable.</t>
  </si>
  <si>
    <t xml:space="preserve">https://job-boards.greenhouse.io/idnow/jobs/4905098101</t>
  </si>
  <si>
    <t xml:space="preserve">Kentik</t>
  </si>
  <si>
    <t xml:space="preserve">Solutions Engineer, Service Provider - EMEA</t>
  </si>
  <si>
    <t xml:space="preserve">The public link bounces to kentik.com, so the working form is the Greenhouse embed: boards.greenhouse.io/embed/job_app?for=kentik&amp;token=4716196005. Cover Letter slot present.</t>
  </si>
  <si>
    <t xml:space="preserve">https://job-boards.greenhouse.io/kentik/jobs/4716196005</t>
  </si>
  <si>
    <t xml:space="preserve">The Quality Group</t>
  </si>
  <si>
    <t xml:space="preserve">AI Engineer (gn)</t>
  </si>
  <si>
    <t xml:space="preserve">Cover Letter slot present. Everything else is easy: earliest start date, salary expectation and a free notes box, all bilingual German and English.</t>
  </si>
  <si>
    <t xml:space="preserve">https://job-boards.greenhouse.io/thequalitygroupgmbh2/jobs/4931097101</t>
  </si>
  <si>
    <t xml:space="preserve">Postman</t>
  </si>
  <si>
    <t xml:space="preserve">Enterprise Solutions Engineer, Italy</t>
  </si>
  <si>
    <t xml:space="preserve">Italy-based req, short form otherwise. LinkedIn profile is required and he has one.</t>
  </si>
  <si>
    <t xml:space="preserve">https://job-boards.greenhouse.io/postman/jobs/7528350003</t>
  </si>
  <si>
    <t xml:space="preserve">Corporate Solutions Engineer, Nordics</t>
  </si>
  <si>
    <t xml:space="preserve">Same short Postman form as the Italy req. Nordics-based.</t>
  </si>
  <si>
    <t xml:space="preserve">https://job-boards.greenhouse.io/postman/jobs/7529471003</t>
  </si>
  <si>
    <t xml:space="preserve">Appfire</t>
  </si>
  <si>
    <t xml:space="preserve">Senior AI Automation Engineer</t>
  </si>
  <si>
    <t xml:space="preserve">Cover Letter slot present. Note they hire only in a fixed country list, so check Italy is on it before he spends time on this one.</t>
  </si>
  <si>
    <t xml:space="preserve">https://job-boards.greenhouse.io/appfire/jobs/4711980005</t>
  </si>
  <si>
    <t xml:space="preserve">Databento</t>
  </si>
  <si>
    <t xml:space="preserve">Technical Support Engineer (L1 Frontline), EU</t>
  </si>
  <si>
    <t xml:space="preserve">Cover Letter slot present. Also asks, in a few words, why you are interested in this role.</t>
  </si>
  <si>
    <t xml:space="preserve">https://job-boards.greenhouse.io/databento/jobs/7976255</t>
  </si>
  <si>
    <t xml:space="preserve">Unframe</t>
  </si>
  <si>
    <t xml:space="preserve">AI Transformation Architect EMEA</t>
  </si>
  <si>
    <t xml:space="preserve">Cover Letter slot present. Also asks him to talk through his enterprise solution engineering experience.</t>
  </si>
  <si>
    <t xml:space="preserve">https://job-boards.greenhouse.io/unframe/jobs/4944222101</t>
  </si>
  <si>
    <t xml:space="preserve">GetYourGuide</t>
  </si>
  <si>
    <t xml:space="preserve">Connectivity Partner Program Manager</t>
  </si>
  <si>
    <t xml:space="preserve">required</t>
  </si>
  <si>
    <t xml:space="preserve">Berlin-based req. Also asks whether he holds an EU, EEA or Swiss passport and, if not, which permit lets him live and work in Germany.</t>
  </si>
  <si>
    <t xml:space="preserve">https://job-boards.greenhouse.io/getyourguide/jobs/7976582</t>
  </si>
  <si>
    <t xml:space="preserve">Senior Product Manager, Connectivity</t>
  </si>
  <si>
    <t xml:space="preserve">Shorter form, salary expectation and how you heard about the role.</t>
  </si>
  <si>
    <t xml:space="preserve">https://job-boards.greenhouse.io/getyourguide/jobs/7552392</t>
  </si>
  <si>
    <t xml:space="preserve">Connectivity Partner Business Manager</t>
  </si>
  <si>
    <t xml:space="preserve">Same Berlin form as the Program Manager req, including the German work permit question.</t>
  </si>
  <si>
    <t xml:space="preserve">https://job-boards.greenhouse.io/getyourguide/jobs/7979056</t>
  </si>
  <si>
    <t xml:space="preserve">Senior Product Manager, Supplier Portal</t>
  </si>
  <si>
    <t xml:space="preserve">Salary expectation and how you heard about the role.</t>
  </si>
  <si>
    <t xml:space="preserve">https://job-boards.greenhouse.io/getyourguide/jobs/7887400</t>
  </si>
  <si>
    <t xml:space="preserve">Datacor</t>
  </si>
  <si>
    <t xml:space="preserve">Senior Solution Engineer, Global</t>
  </si>
  <si>
    <t xml:space="preserve">Cover Letter slot present, and separately the req is Remote US only, so it is not a realistic target from Italy.</t>
  </si>
  <si>
    <t xml:space="preserve">https://job-boards.greenhouse.io/datacor/jobs/5200122007</t>
  </si>
  <si>
    <t xml:space="preserve">WorkBoard</t>
  </si>
  <si>
    <t xml:space="preserve">Technical Solution Consultant</t>
  </si>
  <si>
    <t xml:space="preserve">Cover Letter slot present. Sofia, Bulgaria, described as hybrid in the body but Bulgaria Remote in the header.</t>
  </si>
  <si>
    <t xml:space="preserve">https://job-boards.greenhouse.io/workboard/jobs/8634352002</t>
  </si>
  <si>
    <t xml:space="preserve">commercetools</t>
  </si>
  <si>
    <t xml:space="preserve">AI Engineer (m/f/x)</t>
  </si>
  <si>
    <t xml:space="preserve">Berlin hybrid, three days a week in office. Also asks for hands-on experience with UI protocols such as A2UI, AG-UI or MCP-UI, and for his current visa or residency status in writing.</t>
  </si>
  <si>
    <t xml:space="preserve">https://job-boards.greenhouse.io/commercetools/jobs/7774983003</t>
  </si>
  <si>
    <t xml:space="preserve">IT Systems and Automation Engineer</t>
  </si>
  <si>
    <t xml:space="preserve">Motivation: What about n8n or the role caught your attention and made you apply?</t>
  </si>
  <si>
    <t xml:space="preserve">The highest-fit lead on the whole workbook at 95, and the one company whose product is literally on his CV. Held only because of the motivation field. There is also a long essay question: tell us about an IT automation you are most proud of, covering the problem, the tools, your role, how you made it reliable and secure, and the measurable outcome. His FlowSpace and UltraStrategy work answers that in his sleep. Everything else was verified fillable: Italy IS in their contract-location dropdown, and the work-contract checkbox I can be based in a European country other than Germany or the UK where I do not need visa support is true for him. Note their limit: one application per 15 days across their whole board.</t>
  </si>
  <si>
    <t xml:space="preserve">https://jobs.ashbyhq.com/n8n/5afbde12-defb-457d-a21e-584347141436/application</t>
  </si>
  <si>
    <t xml:space="preserve">SpaceXAI (xAI)</t>
  </si>
  <si>
    <t xml:space="preserve">AI Tutor - Software Engineering Specialist</t>
  </si>
  <si>
    <t xml:space="preserve">Two blockers, not one. A Cover Letter slot, and GitHub Profile is a REQUIRED field. He has no GitHub and I will not invent one, so this needs him either way. It also asks for his full legal name in his native script.</t>
  </si>
  <si>
    <t xml:space="preserve">https://job-boards.greenhouse.io/xai/jobs/5063490007</t>
  </si>
  <si>
    <t xml:space="preserve">Neara</t>
  </si>
  <si>
    <t xml:space="preserve">Implementation Engineer</t>
  </si>
  <si>
    <t xml:space="preserve">Cover Letter (upload slot)</t>
  </si>
  <si>
    <t xml:space="preserve">Vilnius, remote. Note their limit of one application per job per 180 days, so it is worth doing properly once.</t>
  </si>
  <si>
    <t xml:space="preserve">https://jobs.ashbyhq.com/neara/12c88319-6f1e-48e1-acad-fc4c1017b1cd/application</t>
  </si>
  <si>
    <t xml:space="preserve">Wayflyer</t>
  </si>
  <si>
    <t xml:space="preserve">Full Stack Software Engineer</t>
  </si>
  <si>
    <t xml:space="preserve">Remote Europe only, which suits him. Also asks what type of visa he would need, where the honest answer is none for the EU on his long-term residence permit.</t>
  </si>
  <si>
    <t xml:space="preserve">https://jobs.ashbyhq.com/wayflyer/59f3c28d-c365-4343-a11e-001cef58ce90/application</t>
  </si>
  <si>
    <t xml:space="preserve">Langfuse</t>
  </si>
  <si>
    <t xml:space="preserve">Why do you care about Langfuse?</t>
  </si>
  <si>
    <t xml:space="preserve">appears required</t>
  </si>
  <si>
    <t xml:space="preserve">Europe, Berlin, London, Munich, Paris or Zurich. Everything else on the form he has: EU work permit yes, salary range, start date.</t>
  </si>
  <si>
    <t xml:space="preserve">https://jobs.ashbyhq.com/langfuse/a2c4e24c-21d1-4a9f-8d46-422d0592efd6/application</t>
  </si>
  <si>
    <t xml:space="preserve">Enode</t>
  </si>
  <si>
    <t xml:space="preserve">Customer Solutions Engineer</t>
  </si>
  <si>
    <t xml:space="preserve">Why do you want to work at Enode? (1-3 sentences), plus Tell us a bit about yourself (1-3 sentences)</t>
  </si>
  <si>
    <t xml:space="preserve">Remote Europe, CET plus or minus 3 hours, which Venice sits inside. Two short answers and it is done, both of them his own words.</t>
  </si>
  <si>
    <t xml:space="preserve">https://jobs.ashbyhq.com/enode/6b852b8a-6b6b-4ad2-be67-094af51f04c7/application</t>
  </si>
  <si>
    <t xml:space="preserve">Sunday Natural</t>
  </si>
  <si>
    <t xml:space="preserve">Senior CRM Automation and Data Manager (all genders)</t>
  </si>
  <si>
    <t xml:space="preserve">Please upload your CV, recent certificates and references as well as a brief cover letter</t>
  </si>
  <si>
    <t xml:space="preserve">Berlin. They want certificates and references in the same upload as the letter, so this one needs a proper package from him, not just a paragraph.</t>
  </si>
  <si>
    <t xml:space="preserve">https://jobs.ashbyhq.com/sunday-natural/334daa15-1d5d-413a-b68b-3e100d0fe6aa/application</t>
  </si>
  <si>
    <t xml:space="preserve">Rossum</t>
  </si>
  <si>
    <t xml:space="preserve">Software Engineer (Associate Solution Architect)</t>
  </si>
  <si>
    <t xml:space="preserve">What motivated you to apply for this position?</t>
  </si>
  <si>
    <t xml:space="preserve">Prague. Two more questions want written answers he can give easily: his GitLab experience, and his Python experience with specific frameworks. Worth being honest that Python is not his depth.</t>
  </si>
  <si>
    <t xml:space="preserve">https://jobs.ashbyhq.com/rossum.ai/5813d4c2-aa73-40ee-89a6-cc670c80be9f/application</t>
  </si>
  <si>
    <t xml:space="preserve">Altamira (freelance board)</t>
  </si>
  <si>
    <t xml:space="preserve">AI Solution Architect</t>
  </si>
  <si>
    <t xml:space="preserve">Remote freelance. Asks gross hourly expectations in USD, so his EUR 25 an hour becomes roughly USD 28 to 30. Everything else is trivial.</t>
  </si>
  <si>
    <t xml:space="preserve">https://job-boards.greenhouse.io/altamirafreelance/jobs/4936421101</t>
  </si>
  <si>
    <t xml:space="preserve">Cloudbeds</t>
  </si>
  <si>
    <t xml:space="preserve">Europe. Separately worth knowing the screen asks for 5+ years with strong Python and TypeScript, React Native and Expo, and Terraform, Kubernetes, Helm and Argo CD. Honest answers there are mostly no, so this is a long shot even with a letter.</t>
  </si>
  <si>
    <t xml:space="preserve">https://job-boards.greenhouse.io/cloudbeds/jobs/4717008005</t>
  </si>
  <si>
    <t xml:space="preserve">Gorilla</t>
  </si>
  <si>
    <t xml:space="preserve">Sales Engineer</t>
  </si>
  <si>
    <t xml:space="preserve">Add a cover letter or anything else you would like to share</t>
  </si>
  <si>
    <t xml:space="preserve">Germany remote. Everything else is easy: sponsorship no, salary, and a junior, medior or senior self-rating.</t>
  </si>
  <si>
    <t xml:space="preserve">https://jobs.ashbyhq.com/gorilla/d433c595-1824-4fba-be86-61732600a0fd/application</t>
  </si>
  <si>
    <t xml:space="preserve">DigitalGenius</t>
  </si>
  <si>
    <t xml:space="preserve">Solutions Engineer - EMEA</t>
  </si>
  <si>
    <t xml:space="preserve">Workable</t>
  </si>
  <si>
    <t xml:space="preserve">Cover letter (Optional), plus two required essays</t>
  </si>
  <si>
    <t xml:space="preserve">letter optional, essays required</t>
  </si>
  <si>
    <t xml:space="preserve">Fit 95 and the top of the second queue, so worth his time. Remote, Romania-based req. The two required essays are: tell us about something you have built, tested or experimented with using AI, and tell us about a time you turned a vague customer problem into a practical technical solution including the trade-offs. Both are his own words, and both he can answer from FlowSpace directly. Good news for the rest of the list: Workable now loads properly in the browser, which was blocked in earlier sweeps.</t>
  </si>
  <si>
    <t xml:space="preserve">https://apply.workable.com/digitalgenius/j/E03A435AC1/apply/</t>
  </si>
  <si>
    <t xml:space="preserve">Freedom24 (Freedom Finance Europe)</t>
  </si>
  <si>
    <t xml:space="preserve">AI No-Code/Low-Code Developer</t>
  </si>
  <si>
    <t xml:space="preserve">Cover letter (Optional)</t>
  </si>
  <si>
    <t xml:space="preserve">Remote. Also asks his proficiency level in Russian, where the honest answer is none, so weigh that before spending a letter on it.</t>
  </si>
  <si>
    <t xml:space="preserve">https://apply.workable.com/freedomfinanceeu/j/348556E7E4/apply/</t>
  </si>
  <si>
    <t xml:space="preserve">Laravel</t>
  </si>
  <si>
    <t xml:space="preserve">REQUIRED</t>
  </si>
  <si>
    <t xml:space="preserve">Remote GTM role at Laravel itself, and Laravel is on his CV under Development. The letter is required, not optional, so nothing could be sent. Worth a proper one.</t>
  </si>
  <si>
    <t xml:space="preserve">https://apply.workable.com/laravel/j/E2EEEA7303/apply/</t>
  </si>
  <si>
    <t xml:space="preserve">Remofirst</t>
  </si>
  <si>
    <t xml:space="preserve">Revenue Operations Specialist</t>
  </si>
  <si>
    <t xml:space="preserve">Cover letter (Optional), plus a required Briefly explain your Revenue Operations experience</t>
  </si>
  <si>
    <t xml:space="preserve">optional letter, required essay</t>
  </si>
  <si>
    <t xml:space="preserve">Remote across Portugal, Spain, Poland, Romania, Serbia and South Africa. Salary is asked in USD, so his 60,000 to 70,000 euro becomes roughly USD 70,000 to 82,000.</t>
  </si>
  <si>
    <t xml:space="preserve">https://apply.workable.com/remofirst/j/CB946C18D3/apply/</t>
  </si>
  <si>
    <t xml:space="preserve">Makersite</t>
  </si>
  <si>
    <t xml:space="preserve">Technical Support Engineer (m/f/x)</t>
  </si>
  <si>
    <t xml:space="preserve">Recruitee</t>
  </si>
  <si>
    <t xml:space="preserve">Remote, Stuttgart-based, and they publish EUR 70,000 to 80,000 a year, which is above even the stretch end of his own range. Worth a proper letter for that reason alone. Everything else is standard: full name, email, phone, CV, current address, nationality, notice period and salary range.</t>
  </si>
  <si>
    <t xml:space="preserve">https://makersitegmbh.recruitee.com/o/technical-support-engineer-mfx</t>
  </si>
  <si>
    <t xml:space="preserve">Tiugo Technologies</t>
  </si>
  <si>
    <t xml:space="preserve">Technical Product Manager (AI Services team)</t>
  </si>
  <si>
    <t xml:space="preserve">Cover letter, plus two opinion questions</t>
  </si>
  <si>
    <t xml:space="preserve">letter optional, first opinion question required</t>
  </si>
  <si>
    <t xml:space="preserve">Remote, Warsaw-based, PLN 22,000 to 28,000 a month which is roughly EUR 61,000 to 78,000 a year. Blocked twice over: a cover letter slot, and a required question asking which AI product has actually made him more productive rather than just feeling productive, in three to five sentences. That one is his opinion and a good one to answer honestly. They also ask for a GitHub link, which he does not have.</t>
  </si>
  <si>
    <t xml:space="preserve">https://tiugotech.recruitee.com/o/technical-product-manager-ai-services-team</t>
  </si>
  <si>
    <t xml:space="preserve">Technical Account Manager (RTB)</t>
  </si>
  <si>
    <t xml:space="preserve">Cover letter (upload or write in place)</t>
  </si>
  <si>
    <t xml:space="preserve">Two things beyond the letter. Preferred work location is a required choice between Poland (Warsaw) and Ukraine (Kyiv) only, so this is a relocation either way and Ukraine is outside the EU entirely. The public recruitee link also redirects to careers.mgid.com.</t>
  </si>
  <si>
    <t xml:space="preserve">https://careers.mgid.com/o/technical-account-manager-rtb-1</t>
  </si>
  <si>
    <t xml:space="preserve">Tandem Health</t>
  </si>
  <si>
    <t xml:space="preserve">Tell us a little about why you are interested in this role!</t>
  </si>
  <si>
    <t xml:space="preserve">Stockholm and on-site, not remote, so it is a full relocation to Sweden as well as needing his words.</t>
  </si>
  <si>
    <t xml:space="preserve">https://jobs.ashbyhq.com/tandem-health/583fef4f-4417-40d9-a87e-e405180f71ce/application</t>
  </si>
  <si>
    <t xml:space="preserve">HomeToGo</t>
  </si>
  <si>
    <t xml:space="preserve">(Senior) Technical Account Manager (m/f/d)</t>
  </si>
  <si>
    <t xml:space="preserve">Berlin, permanent. Everything else is answerable: LinkedIn, where you heard about the role, right to work in Germany yes on his EU rule, available from, expected salary and whether he previously worked for HomeToGo.</t>
  </si>
  <si>
    <t xml:space="preserve">https://hometogo.jobs.personio.de/job/2670372/apply</t>
  </si>
  <si>
    <t xml:space="preserve">Cover letter, plus three essays</t>
  </si>
  <si>
    <t xml:space="preserve">letter optional, two essays required</t>
  </si>
  <si>
    <t xml:space="preserve">Amsterdam, on-site or hybrid, EUR 80,000 to 110,000 published. Blocked four ways: a cover letter slot, do you consider yourself the top 1 percent in your field and please explain, describe a project that demonstrates your technical abilities, and have you tried our platform and what feedback do you have. That last one needs him to actually use their product first, which is a real signal they want.</t>
  </si>
  <si>
    <t xml:space="preserve">https://lleverage.recruitee.com/o/ai-engineer-2</t>
  </si>
  <si>
    <t xml:space="preserve">Absorb</t>
  </si>
  <si>
    <t xml:space="preserve">Presales Solutions Engineer</t>
  </si>
  <si>
    <t xml:space="preserve">Remote Ireland. Worth knowing Ireland opted out of the EU long-term residence directive, so his Italian permit does not reach it and this would be a sponsorship conversation.</t>
  </si>
  <si>
    <t xml:space="preserve">https://jobs.ashbyhq.com/absorblms/a921a1d0-5e93-4bbf-a75e-125732438449/application</t>
  </si>
  <si>
    <t xml:space="preserve">deeploi</t>
  </si>
  <si>
    <t xml:space="preserve">Please upload your CV, recent certificates as well as a brief cover letter, plus a separate optional Cover letter slot</t>
  </si>
  <si>
    <t xml:space="preserve">required in the upload bundle</t>
  </si>
  <si>
    <t xml:space="preserve">They want certificates alongside the letter, so this needs a package from him rather than a paragraph. Everything else is short: available from, expected salary, LinkedIn.</t>
  </si>
  <si>
    <t xml:space="preserve">https://deeploi.jobs.personio.de/job/2717159/apply</t>
  </si>
  <si>
    <t xml:space="preserve">DoiT International</t>
  </si>
  <si>
    <t xml:space="preserve">NetSuite Systems Engineer (Financial Systems Engineer)</t>
  </si>
  <si>
    <t xml:space="preserve">Remote Ireland, and separately a hard screen: they require 3 to 6 years administering a financial or ERP system with hands-on NetSuite administration, which he does not have. Not worth a letter.</t>
  </si>
  <si>
    <t xml:space="preserve">https://job-boards.greenhouse.io/doitintl/jobs/7795513003</t>
  </si>
  <si>
    <t xml:space="preserve">Customer.io</t>
  </si>
  <si>
    <t xml:space="preserve">Customer Success Manager, EMEA</t>
  </si>
  <si>
    <t xml:space="preserve">EMEA remote, which suits him. Everything else is answerable: authorised to work in country of residence yes, sponsorship no, years at a B2B SaaS company, GDPR acknowledgement.</t>
  </si>
  <si>
    <t xml:space="preserve">https://job-boards.greenhouse.io/customerio/jobs/8089365</t>
  </si>
  <si>
    <t xml:space="preserve">Needs you, or blocked</t>
  </si>
  <si>
    <t xml:space="preserve">One row per role, each with its own link. Green means he can clear it himself in a browser in minutes. Amber needs a decision or something only he can write. Red is a hard gate, recorded so it does not get re-found next sweep.</t>
  </si>
  <si>
    <t xml:space="preserve">Blocker</t>
  </si>
  <si>
    <t xml:space="preserve">What is actually needed</t>
  </si>
  <si>
    <t xml:space="preserve">Arkipel</t>
  </si>
  <si>
    <t xml:space="preserve">join.com sign-in</t>
  </si>
  <si>
    <t xml:space="preserve">not disclosed, open to discussion</t>
  </si>
  <si>
    <t xml:space="preserve">Remote within CET minus 1 to plus 1, so Venice qualifies. TypeScript, Node, React, PostgreSQL, AWS and Docker, and the posting explicitly expects engineers to use coding agents daily, which is how he already works. Early-career candidates are discouraged, so pitch the senior framing. This link is the euremotejobs mirror; the apply flow still lands on join.com.</t>
  </si>
  <si>
    <t xml:space="preserve">https://euremotejobs.com/job/arkipel-remote-within-the-1-1-cet-time-zone-range-full-time-product-engineer-at-join/</t>
  </si>
  <si>
    <t xml:space="preserve">not disclosed</t>
  </si>
  <si>
    <t xml:space="preserve">Founding engineer scope. Flagged tier 3 on eligibility in the sweep, so check the country line first.</t>
  </si>
  <si>
    <t xml:space="preserve">Forward-deployed plus CRM architecture is his lead capture, enrichment and sales-funnel automation work with a better title on it.</t>
  </si>
  <si>
    <t xml:space="preserve">Jamie</t>
  </si>
  <si>
    <t xml:space="preserve">AI Engineer - top 5% salary band in Europe</t>
  </si>
  <si>
    <t xml:space="preserve">stated as top 5% in Europe plus VSOP, no figures</t>
  </si>
  <si>
    <t xml:space="preserve">Asks 2+ years, one of very few AI Engineer reqs his 3 years clears rather than stretches. Prompt engineering and shipping LLM features into a live product is directly his FlowSpace work. The gate is a Berlin Mitte office expectation several days a week, so clarify whether fully remote from Italy is genuinely on the table before investing.</t>
  </si>
  <si>
    <t xml:space="preserve">https://join.com/companies/meetjamieai/16383408-ai-engineer-top-5-salary-band-in-europe</t>
  </si>
  <si>
    <t xml:space="preserve">KFS GROUP</t>
  </si>
  <si>
    <t xml:space="preserve">Junior Full-Stack Developer (TypeScript, React, Supabase, Postgres)</t>
  </si>
  <si>
    <t xml:space="preserve">not disclosed, Hungarian band</t>
  </si>
  <si>
    <t xml:space="preserve">The only posting in any sweep whose eligibility sentence names CET hours as a sufficient alternative to residency, and Venice is CET. Stack is his actual toolkit. But it is pitched junior, so he would be applying down at a Hungarian band that will very likely sit under his range.</t>
  </si>
  <si>
    <t xml:space="preserve">https://join.com/companies/kfs1/16523505-junior-full-stack-developer-typescript-react-supabase-postgres</t>
  </si>
  <si>
    <t xml:space="preserve">Laioutr GmbH</t>
  </si>
  <si>
    <t xml:space="preserve">AI Engineer (m/f/d), Full Stack</t>
  </si>
  <si>
    <t xml:space="preserve">EUR 36,000-60,000</t>
  </si>
  <si>
    <t xml:space="preserve">Band starts inside his target and the posting states fluent German OR English, so language is not a gate. Two problems: Remote (Deutschland) means remote within Germany, and the frontend is Nuxt and Vue first, with no Vue on his CV.</t>
  </si>
  <si>
    <t xml:space="preserve">https://join.com/companies/laioutr/16494968-ai-engineer-m-f-d-full-stack-typescript-nuxt-next-vue-react</t>
  </si>
  <si>
    <t xml:space="preserve">Added 6 August. Clay, Apollo, HubSpot at tool depth, Python, JavaScript, outbound systems. Remote Germany. Framed as a co-founding partnership despite the employee contract label, so it may be equity-weighted.</t>
  </si>
  <si>
    <t xml:space="preserve">Pinnipedia</t>
  </si>
  <si>
    <t xml:space="preserve">role recorded in the 5 August shortlist</t>
  </si>
  <si>
    <t xml:space="preserve">The direct URL was not captured before the shortlist was written. Search the company name on join.com once signed in. Logged so it does not get lost.</t>
  </si>
  <si>
    <t xml:space="preserve">https://join.com/companies</t>
  </si>
  <si>
    <t xml:space="preserve">RevOS GmbH</t>
  </si>
  <si>
    <t xml:space="preserve">AI Native Senior Full Stack Engineer</t>
  </si>
  <si>
    <t xml:space="preserve">EUR 3,000-4,000 a month</t>
  </si>
  <si>
    <t xml:space="preserve">The eligibility line is written for his exact situation: you are in the European Union and have a valid European work permit, on a contract basis. But EUR 4,000 a month is about EUR 190 a day, at or under his floor, and they want 5+ years for it. Stack reaches into Python, Spark and dbt.</t>
  </si>
  <si>
    <t xml:space="preserve">https://join.com/companies/revos/15825399-ai-native-senior-full-stack-engineer</t>
  </si>
  <si>
    <t xml:space="preserve">EUR 29,000-35,000</t>
  </si>
  <si>
    <t xml:space="preserve">Added 6 August and the most immediately actionable of the whole join.com set: an ITALIAN company, remote, his salary band exactly, and the tool list is Claude and ChatGPT environments, JavaScript, Node.js, APIs, webhooks, automation platforms, HubSpot APIs and MCP servers. Fit 99.</t>
  </si>
  <si>
    <t xml:space="preserve">cargovibe</t>
  </si>
  <si>
    <t xml:space="preserve">Founding Engineer (all genders)</t>
  </si>
  <si>
    <t xml:space="preserve">Founding-engineer scope means owning product surface end to end, which is what he did at FlowSpace. TypeScript, Node and React plus stated interest in LLM and voice features, and the posting says outright that not ticking every box is fine. Remote (Germany) so confirm an Italy-resident hire works. React Native and Expo are in the stack and he has no mobile.</t>
  </si>
  <si>
    <t xml:space="preserve">https://join.com/companies/cargovibede/16370194-founding-engineer-all-genders</t>
  </si>
  <si>
    <t xml:space="preserve">dexter health</t>
  </si>
  <si>
    <t xml:space="preserve">peopleIX</t>
  </si>
  <si>
    <t xml:space="preserve">Full-Stack Engineer, Workflow Automation Platform (m/f/d)</t>
  </si>
  <si>
    <t xml:space="preserve">EUR 65,000-80,000</t>
  </si>
  <si>
    <t xml:space="preserve">Best-paying find of the whole search. The product IS a workflow automation platform, the domain he has spent two years in. Stack is React, TypeScript, Node, PostgreSQL, tRPC, Prisma, Next.js, Tailwind, a near-exact overlap, and it asks 3+ years which is literally his level. Cologne hybrid so a relocation. Named integrations Personio, DATEV and SAP suggest German context.</t>
  </si>
  <si>
    <t xml:space="preserve">https://join.com/companies/peopleix/16471347-full-stack-engineer-workflow-automation-platform-m-f-d</t>
  </si>
  <si>
    <t xml:space="preserve">salesHAX Consulting</t>
  </si>
  <si>
    <t xml:space="preserve">Full-Stack AI Developer / Engineer (m/w/d)</t>
  </si>
  <si>
    <t xml:space="preserve">EUR 60,000-110,000</t>
  </si>
  <si>
    <t xml:space="preserve">The named stack is the closest thing to a transcription of his CV anywhere: Next.js, React, Node and Express, PostgreSQL, Supabase, OpenAI and Anthropic Claude, Make.com and n8n. Remote. Blockers: permanent German employment, so raise the Partita IVA route early; the posting is in German so the working language may be too; they prefer a portfolio or GitHub, which he does not have, so he needs a written case study.</t>
  </si>
  <si>
    <t xml:space="preserve">https://join.com/companies/saleshax/16342286-full-stack-ai-developer-engineer-m-w-d</t>
  </si>
  <si>
    <t xml:space="preserve">workable domain unreachable</t>
  </si>
  <si>
    <t xml:space="preserve">From the 6 August sweep, fit 95. AI-powered customer service automation for e-commerce, so the product is effectively agentic workflows over APIs, and they provide Claude and Cursor subscriptions. Strongest thematic match of that sweep. Confirm it accepts an Italy-based hire rather than Romania specifically.</t>
  </si>
  <si>
    <t xml:space="preserve">https://apply.workable.com/digitalgenius/j/E03A435AC1</t>
  </si>
  <si>
    <t xml:space="preserve">From the 6 August sweep. The best direct stack match found anywhere: he already ships Laravel and PHP and led a Bubble.io to Next.js and Laravel migration. Listed countries include Denmark and the UK which are unusable, so he must open it and confirm which of the other four are open and whether Italy is one.</t>
  </si>
  <si>
    <t xml:space="preserve">https://apply.workable.com/laravel/j/E2EEEA7303</t>
  </si>
  <si>
    <t xml:space="preserve">Mindrift / Toloka AI</t>
  </si>
  <si>
    <t xml:space="preserve">Freelance Full-Stack Web App Developer</t>
  </si>
  <si>
    <t xml:space="preserve">Fit 64, freelance basis which suits the Partita IVA. Same apply.workable.com blocker.</t>
  </si>
  <si>
    <t xml:space="preserve">https://apply.workable.com/toloka-ai/j/F5013CA4FC/apply/</t>
  </si>
  <si>
    <t xml:space="preserve">Moneyfarm</t>
  </si>
  <si>
    <t xml:space="preserve">Senior Software Engineer - Frontend</t>
  </si>
  <si>
    <t xml:space="preserve">EUR 48,000-68,000</t>
  </si>
  <si>
    <t xml:space="preserve">Fit 73, salary above target, Italian fintech. Same apply.workable.com blocker, opens fine in his browser.</t>
  </si>
  <si>
    <t xml:space="preserve">https://apply.workable.com/moneyfarm/j/DD702C60CF/</t>
  </si>
  <si>
    <t xml:space="preserve">RemoFirst</t>
  </si>
  <si>
    <t xml:space="preserve">From the 6 August sweep. Portugal plus four undisclosed countries, so he needs to open it and check whether Italy is one of them. HubSpot, PandaDoc, Apollo.</t>
  </si>
  <si>
    <t xml:space="preserve">https://apply.workable.com/remofirst/j/CB946C18D3</t>
  </si>
  <si>
    <t xml:space="preserve">SalesCaptain</t>
  </si>
  <si>
    <t xml:space="preserve">Fit 82 and the best raw tool match anywhere: Clay workflows and AI columns, n8n, Make.com, Zapier, Claude, GPT-4, JavaScript, CRM, mid-level, remote on EU hours. apply.workable.com is unreachable for this session's browser but opens fine in his. Note syndicated copies list the location as United Kingdom, contradicting the EU-hours line, so confirm.</t>
  </si>
  <si>
    <t xml:space="preserve">https://apply.workable.com/salescaptain/j/5D318B62CB/</t>
  </si>
  <si>
    <t xml:space="preserve">DADA ENERGY SRL</t>
  </si>
  <si>
    <t xml:space="preserve">AI-Native Full-Stack Developer - D2 Hub Energy Automation</t>
  </si>
  <si>
    <t xml:space="preserve">Indeed apply flow needs him</t>
  </si>
  <si>
    <t xml:space="preserve">Fit 84. Milan. EXPLICITLY ACCEPTS A PARTITA IVA CONTRACT, which suits his sole-trader setup exactly. Next.js, React, TypeScript, PostgreSQL, Docker plus LLM integration and RAG, and it asks only 1+ years.</t>
  </si>
  <si>
    <t xml:space="preserve">https://it.indeed.com/viewjob?jk=75f472b960751e88</t>
  </si>
  <si>
    <t xml:space="preserve">Loomya</t>
  </si>
  <si>
    <t xml:space="preserve">AI Automation Engineer - Software Development and Integrations</t>
  </si>
  <si>
    <t xml:space="preserve">EUR 30,000-35,000</t>
  </si>
  <si>
    <t xml:space="preserve">Fit 85. Santa Croce sull'Arno, Tuscany. His band exactly. Asks 3-5 years in software development, automation or integrations, plus JavaScript and TypeScript, REST APIs, JSON and webhooks.</t>
  </si>
  <si>
    <t xml:space="preserve">https://it.indeed.com/viewjob?jk=ca2f94a1378e690d</t>
  </si>
  <si>
    <t xml:space="preserve">MailerLite</t>
  </si>
  <si>
    <t xml:space="preserve">PHP Engineer</t>
  </si>
  <si>
    <t xml:space="preserve">disclosed, above target</t>
  </si>
  <si>
    <t xml:space="preserve">Fit 75. Rome with a remote option. The only Italian-market row with all three of a disclosed salary above target, an explicit English-only language line, and a stack he has actually shipped.</t>
  </si>
  <si>
    <t xml:space="preserve">https://it.indeed.com/viewjob?jk=09dad482b024076d</t>
  </si>
  <si>
    <t xml:space="preserve">Docplanner / MioDottore</t>
  </si>
  <si>
    <t xml:space="preserve">six Italy and Spain roles</t>
  </si>
  <si>
    <t xml:space="preserve">ATS blocks automation</t>
  </si>
  <si>
    <t xml:space="preserve">Returns HTTP 400 to every automated attempt, which is tenant-level blocking rather than a rendering failure. This is the largest cluster of Italy-based engineering roles found in any sweep, so it is worth him opening the board by hand.</t>
  </si>
  <si>
    <t xml:space="preserve">https://jobs.smartrecruiters.com/Docplanner</t>
  </si>
  <si>
    <t xml:space="preserve">Gensyn</t>
  </si>
  <si>
    <t xml:space="preserve">needs his own words</t>
  </si>
  <si>
    <t xml:space="preserve">Live. The required question is What makes you a good fit for this role? and the posting explicitly asks for no AI-generated response. His to write.</t>
  </si>
  <si>
    <t xml:space="preserve">https://job-boards.eu.greenhouse.io/gensyn/jobs/4660248101</t>
  </si>
  <si>
    <t xml:space="preserve">Kairos</t>
  </si>
  <si>
    <t xml:space="preserve">Contract Software Engineer</t>
  </si>
  <si>
    <t xml:space="preserve">USD 70-120 an hour</t>
  </si>
  <si>
    <t xml:space="preserve">Live and otherwise a fit. The free-response questions are What risks from AI are you most concerned about? and What is your experience with AI Safety? Those are his opinions to write, not mine to invent.</t>
  </si>
  <si>
    <t xml:space="preserve">https://jobs.ashbyhq.com/kairos-project/d0aeae33-8eae-4d58-ac30-369a87dd90c7/application</t>
  </si>
  <si>
    <t xml:space="preserve">Fueled</t>
  </si>
  <si>
    <t xml:space="preserve">Contract Senior Front End Engineer</t>
  </si>
  <si>
    <t xml:space="preserve">US authorisation question</t>
  </si>
  <si>
    <t xml:space="preserve">Live, contract, remote anywhere. Two stops: a required US Work Authorization Status dropdown, which his runbook says to stop on, and a required years-building-large-scale question.</t>
  </si>
  <si>
    <t xml:space="preserve">https://job-boards.greenhouse.io/fueledcareers/jobs/4038230008</t>
  </si>
  <si>
    <t xml:space="preserve">Italy not on the country list</t>
  </si>
  <si>
    <t xml:space="preserve">Fully remote across Croatia, Germany, France, Lithuania, Netherlands, Poland, Sweden and the UK. Italy is absent, so this is a relocation decision, and the softgarden host was unreachable for this session.</t>
  </si>
  <si>
    <t xml:space="preserve">CAD 130K-220K</t>
  </si>
  <si>
    <t xml:space="preserve">Strong n8n and Clay tool match. Twelve eligible countries and Italy is not among them, so he would have to apply on the basis of relocating to France, Germany, the Netherlands, Poland, Portugal or Spain. Also requires US Eastern overlap.</t>
  </si>
  <si>
    <t xml:space="preserve">Product Manager [IC4] - follow-up owed</t>
  </si>
  <si>
    <t xml:space="preserve">letter never attached</t>
  </si>
  <si>
    <t xml:space="preserve">Already submitted, but the motivation letter was written and never attached because the form had no field, and Greenhouse applications cannot be edited. A follow-up email is drafted in drafts/sourcegraph-followup-draft.md and NOT sent. It needs his go-ahead.</t>
  </si>
  <si>
    <t xml:space="preserve">Ireland, no sponsorship</t>
  </si>
  <si>
    <t xml:space="preserve">A genuinely good technical fit at 3 to 5 years, but the posting states outright that they do not sponsor and require the legal right to work in Ireland. Ireland opted out of the EU long-term residence directive, so his Italian permit does not carry over.</t>
  </si>
  <si>
    <t xml:space="preserve">Attio</t>
  </si>
  <si>
    <t xml:space="preserve">UK right to work</t>
  </si>
  <si>
    <t xml:space="preserve">Fit 69. London hybrid, and the form requires ongoing right to work in the UK.</t>
  </si>
  <si>
    <t xml:space="preserve">https://jobs.ashbyhq.com/attio</t>
  </si>
  <si>
    <t xml:space="preserve">Ben</t>
  </si>
  <si>
    <t xml:space="preserve">UK, deadline passed</t>
  </si>
  <si>
    <t xml:space="preserve">Fit 80. The application deadline was 10 July 2026, London hybrid three days a week is mandatory, and it requires UK work eligibility without sponsorship.</t>
  </si>
  <si>
    <t xml:space="preserve">https://jobs.ashbyhq.com/ben</t>
  </si>
  <si>
    <t xml:space="preserve">Cresta</t>
  </si>
  <si>
    <t xml:space="preserve">AI Deployment Manager / Senior FDE / Conversational Designer</t>
  </si>
  <si>
    <t xml:space="preserve">Fit 63, 58 and 53. Every Cresta EMEA requisition requires unrestricted UK work authorisation.</t>
  </si>
  <si>
    <t xml:space="preserve">https://cresta.com/careers</t>
  </si>
  <si>
    <t xml:space="preserve">UK or Ireland only</t>
  </si>
  <si>
    <t xml:space="preserve">USD 80,000</t>
  </si>
  <si>
    <t xml:space="preserve">UK or Ireland only, both needing sponsorship, and the posting prioritises French, Russian or Spanish speakers.</t>
  </si>
  <si>
    <t xml:space="preserve">Lovable</t>
  </si>
  <si>
    <t xml:space="preserve">no EU-remote option</t>
  </si>
  <si>
    <t xml:space="preserve">Fit 75. Work-location options are Stockholm, Boston, London and SF offices only and the form requires legal right to work in that country.</t>
  </si>
  <si>
    <t xml:space="preserve">https://jobs.ashbyhq.com/lovable/7fe39289-1f7f-47d4-8002-d3aeeaaaabc6/application</t>
  </si>
  <si>
    <t xml:space="preserve">Italian plus Switzerland</t>
  </si>
  <si>
    <t xml:space="preserve">The description body contains Italian-language text, and the location is Mendrisio in Ticino, Switzerland, despite the board listing it as Italy. Two blockers at once.</t>
  </si>
  <si>
    <t xml:space="preserve">Reverse</t>
  </si>
  <si>
    <t xml:space="preserve">Deployment Strategist - AI</t>
  </si>
  <si>
    <t xml:space="preserve">Italian required</t>
  </si>
  <si>
    <t xml:space="preserve">EUR 60,000-80,000</t>
  </si>
  <si>
    <t xml:space="preserve">THE EXPENSIVE ITALIAN-LANGUAGE LOSS. Milan or Rome, permanent, asks 2-5 years which is his exact band, no technology mandated. Lost purely on Italian. The clearest single argument for a B1 course.</t>
  </si>
  <si>
    <t xml:space="preserve">https://it.indeed.com/viewjob?jk=ec83a38a6467bd5d</t>
  </si>
  <si>
    <t xml:space="preserve">Satispay</t>
  </si>
  <si>
    <t xml:space="preserve">Software Engineer III, Backend - Business Domain</t>
  </si>
  <si>
    <t xml:space="preserve">skipped on principle</t>
  </si>
  <si>
    <t xml:space="preserve">Fit 58. Live, Milan hybrid three days a week. Skipped deliberately: the required proficiency question offers only Java, C++, Go, Python, Rust, C# or None, so the honest answer is None for a backend software engineering role.</t>
  </si>
  <si>
    <t xml:space="preserve">https://jobs.ashbyhq.com/satispay/45744663-4768-48d1-81c9-218eb54a2027/application</t>
  </si>
  <si>
    <t xml:space="preserve">The Global Talent Co.</t>
  </si>
  <si>
    <t xml:space="preserve">GTM Engineer / AI Engineer</t>
  </si>
  <si>
    <t xml:space="preserve">Latin America only</t>
  </si>
  <si>
    <t xml:space="preserve">USD or ZAR</t>
  </si>
  <si>
    <t xml:space="preserve">Fit 75 on the sweep, but the live posting's location list is Latin America only. Not eligible.</t>
  </si>
  <si>
    <t xml:space="preserve">https://jobs.ashbyhq.com/the-global-talent-co/141a52e8-050a-4761-8d5d-746f1a592efb/application</t>
  </si>
  <si>
    <t xml:space="preserve">epilot</t>
  </si>
  <si>
    <t xml:space="preserve">Integration Solutions Engineer</t>
  </si>
  <si>
    <t xml:space="preserve">German required</t>
  </si>
  <si>
    <t xml:space="preserve">EUR 80,000-100,000</t>
  </si>
  <si>
    <t xml:space="preserve">Remote EU and the highest-paying language loss on record. Du kommunizierst sicher auf Deutsch und Englisch. Recorded because the count matters to the language decision.</t>
  </si>
  <si>
    <t xml:space="preserve">https://epilot.cloud/careers</t>
  </si>
  <si>
    <t xml:space="preserve">Technical Support Analyst</t>
  </si>
  <si>
    <t xml:space="preserve">already on file</t>
  </si>
  <si>
    <t xml:space="preserve">Their system returned: 'Your application was already submitted. We received your previous application on August 6, 2026.' A new application is only accepted 6 months after the last one. Nothing was sent by me. Worth knowing that Jobgether appears to place candidates across their board, so an application to one of their roles can register against another.</t>
  </si>
  <si>
    <t xml:space="preserve">https://jobs.lever.co/jobgether/89509e99-290d-446f-87a7-39c3a67a4a58/apply</t>
  </si>
  <si>
    <t xml:space="preserve">Frontend Engineer</t>
  </si>
  <si>
    <t xml:space="preserve">CAPTCHA on submit</t>
  </si>
  <si>
    <t xml:space="preserve">Italy remote. CV uploaded and every field filled correctly, then an hCaptcha image challenge appeared on submit. I do not solve CAPTCHAs, so nothing was sent. Everything is ready: he opens the link, uploads the CV, and the form is a 30-second job. The challenge is very likely rate limiting after several Jobgether submissions in a row from one session, so it may not appear for him.</t>
  </si>
  <si>
    <t xml:space="preserve">https://jobs.lever.co/jobgether/2875aa8f-2aaa-495a-a70b-d2dcc0355218/apply</t>
  </si>
  <si>
    <t xml:space="preserve">Rithum</t>
  </si>
  <si>
    <t xml:space="preserve">Technical Account Manager (Spain req 8092924)</t>
  </si>
  <si>
    <t xml:space="preserve">not eligible plus cover letter field</t>
  </si>
  <si>
    <t xml:space="preserve">Two blockers. The form requires confirming 'This role requires that you currently reside and work from Spain' and he lives in Venice, so a truthful answer disqualifies him at the first gate. It also carries a Cover Letter slot and a reCAPTCHA. Nothing sent.</t>
  </si>
  <si>
    <t xml:space="preserve">https://job-boards.greenhouse.io/rithumliboard/jobs/8092924</t>
  </si>
  <si>
    <t xml:space="preserve">Quadrivia</t>
  </si>
  <si>
    <t xml:space="preserve">posting removed</t>
  </si>
  <si>
    <t xml:space="preserve">Ashby returns Job not found. The req has been pulled since it was collected.</t>
  </si>
  <si>
    <t xml:space="preserve">https://jobs.ashbyhq.com/quadrivia/ef77b530-b481-4a32-a6d6-b0469a5419f2</t>
  </si>
  <si>
    <t xml:space="preserve">AI Demo Operations Specialist</t>
  </si>
  <si>
    <t xml:space="preserve">The link redirects to the Bloomreach board index with an error flag, which is how Greenhouse signals a closed req.</t>
  </si>
  <si>
    <t xml:space="preserve">https://job-boards.greenhouse.io/bloomreach/jobs/8064322</t>
  </si>
  <si>
    <t xml:space="preserve">OLX</t>
  </si>
  <si>
    <t xml:space="preserve">Senior AI Solutions Engineer</t>
  </si>
  <si>
    <t xml:space="preserve">Lever returns a 404 with the message that the posting has closed or been removed.</t>
  </si>
  <si>
    <t xml:space="preserve">https://jobs.eu.lever.co/olx/e0e18bb2-2cd8-473c-b804-b4849bda1f88</t>
  </si>
  <si>
    <t xml:space="preserve">Technical Account Manager (req 8016946)</t>
  </si>
  <si>
    <t xml:space="preserve">Redirects to the Rithum board index, which is how Greenhouse signals a closed req.</t>
  </si>
  <si>
    <t xml:space="preserve">https://job-boards.greenhouse.io/rithumliboard/jobs/8016946</t>
  </si>
  <si>
    <t xml:space="preserve">Technical Support Engineer (L1 Frontline)</t>
  </si>
  <si>
    <t xml:space="preserve">Redirects to the Databento board index with an error flag.</t>
  </si>
  <si>
    <t xml:space="preserve">https://job-boards.greenhouse.io/databento/jobs/7943501</t>
  </si>
  <si>
    <t xml:space="preserve">Amplitude</t>
  </si>
  <si>
    <t xml:space="preserve">Technical Support Engineer</t>
  </si>
  <si>
    <t xml:space="preserve">Redirects to the Amplitude board index with an error flag.</t>
  </si>
  <si>
    <t xml:space="preserve">https://job-boards.greenhouse.io/amplitude/jobs/8548089002</t>
  </si>
  <si>
    <t xml:space="preserve">JetBrains</t>
  </si>
  <si>
    <t xml:space="preserve">Senior Business Systems Analyst</t>
  </si>
  <si>
    <t xml:space="preserve">Redirects to the board index with an error flag.</t>
  </si>
  <si>
    <t xml:space="preserve">https://job-boards.greenhouse.io/jetbrains/jobs/4873487101</t>
  </si>
  <si>
    <t xml:space="preserve">Telnyx</t>
  </si>
  <si>
    <t xml:space="preserve">Product Support Engineer: EMEA - Weekend Warrior</t>
  </si>
  <si>
    <t xml:space="preserve">https://job-boards.greenhouse.io/telnyx54/jobs/4651630003</t>
  </si>
  <si>
    <t xml:space="preserve">Vonage</t>
  </si>
  <si>
    <t xml:space="preserve">Network Applications Developer Advocate</t>
  </si>
  <si>
    <t xml:space="preserve">Redirects to the Vonage board index with an error flag.</t>
  </si>
  <si>
    <t xml:space="preserve">https://job-boards.greenhouse.io/vonage/jobs/8477113002</t>
  </si>
  <si>
    <t xml:space="preserve">Lighthouse (formerly OTA Insight)</t>
  </si>
  <si>
    <t xml:space="preserve">Client Operations Associate (Test Booking)</t>
  </si>
  <si>
    <t xml:space="preserve">Greenhouse says the job you are looking for is no longer open.</t>
  </si>
  <si>
    <t xml:space="preserve">https://job-boards.eu.greenhouse.io/lighthouse/jobs/4849717101</t>
  </si>
  <si>
    <t xml:space="preserve">Distru</t>
  </si>
  <si>
    <t xml:space="preserve">AI Product Engineer, Remote</t>
  </si>
  <si>
    <t xml:space="preserve">Three required free-text opinion questions. Fit 91, remote worldwide, USD 120,000-200,000. No cover letter field, but the form asks: 'In your experience building with LLMs, what is an opinion you have that you think most people get wrong?', 'If you weren't an engineer, what adjacent role in an org would best suit you and why?' and 'What was the most recent aha moment you had building AI agents?'. Those are his opinions and I will not invent them. Ten minutes of his time and this one is ready to send.</t>
  </si>
  <si>
    <t xml:space="preserve">https://jobs.lever.co/distru/b7bb8662-3ede-4b41-bc98-b8ca5678f8d3/apply</t>
  </si>
  <si>
    <t xml:space="preserve">Deliverect</t>
  </si>
  <si>
    <t xml:space="preserve">Technical Success Manager - Strategic Accounts</t>
  </si>
  <si>
    <t xml:space="preserve">Required free-text: If you were to leave your next role after three years, what is the one impossible or legendary achievement you want to have attached to your name?. No cover letter box, so it passes his rule, but that question is his own ambition in his own words and I will not invent it. Everything else on the form is standard and I have the answers.</t>
  </si>
  <si>
    <t xml:space="preserve">https://jobs.lever.co/deliverect/ec294766-fb58-4dd9-8c2f-c18019f599ca/apply</t>
  </si>
  <si>
    <t xml:space="preserve">ActiveCampaign</t>
  </si>
  <si>
    <t xml:space="preserve">Software Engineer, Agent Development</t>
  </si>
  <si>
    <t xml:space="preserve">Immigration permission details, including permit type and exact expiry date. Krakow, hybrid. No cover letter box, so it passes his rule, but the form asks whether he needs any immigration permission or work permit for Poland and then asks for the permit type and its expiry date. His EU long term residence permit does give him mobility rights to Poland, but it still needs a Polish permit application, and I do not have his expiry date. Two facts from him and this one goes out. Also note the commutable-distance question, where the honest answer from Venice is no.</t>
  </si>
  <si>
    <t xml:space="preserve">https://jobs.lever.co/activecampaign/3e093aec-8540-49c7-93f1-719727c1191d/apply</t>
  </si>
  <si>
    <t xml:space="preserve">Lever returned: Your application was already submitted, we received your previous application. Sent in an earlier sweep, nothing new was sent today.</t>
  </si>
  <si>
    <t xml:space="preserve">PostHog</t>
  </si>
  <si>
    <t xml:space="preserve">Technical Account Manager - EMEA</t>
  </si>
  <si>
    <t xml:space="preserve">Ashby returns Page not found.</t>
  </si>
  <si>
    <t xml:space="preserve">https://jobs.ashbyhq.com/posthog/b42fd20b-b647-4f42-b725-b29ca472cba8</t>
  </si>
  <si>
    <t xml:space="preserve">Lodgify</t>
  </si>
  <si>
    <t xml:space="preserve">Senior Growth Engineer</t>
  </si>
  <si>
    <t xml:space="preserve">held, honest answers fail the screen</t>
  </si>
  <si>
    <t xml:space="preserve">No cover letter field, so it passed his rule, but four of the five screening questions would be answered No truthfully: no server-to-server event tracking such as Meta CAPI or Google S2S, no ownership of GA4 tracking standards or consent governance, no productionising of ML models, and 0 to 2 years on production data pipelines. That GA4 and GTM gap is the same one named in the Sporty Group letter. Held in favour of the Lodgify Senior AI Engineer req at the same company, which fits him properly, so that one application is not diluted. Say the word and I will send this one too.</t>
  </si>
  <si>
    <t xml:space="preserve">https://jobs.lever.co/lodgify/e1eab491-a863-4292-8912-0449992aea60/apply</t>
  </si>
  <si>
    <t xml:space="preserve">Go To Market Operations Analyst (dead Greenhouse board)</t>
  </si>
  <si>
    <t xml:space="preserve">Greenhouse says the job board you were viewing is no longer active, so the whole QuickNode board is gone.</t>
  </si>
  <si>
    <t xml:space="preserve">https://job-boards.greenhouse.io/quicknode/jobs/4677394007</t>
  </si>
  <si>
    <t xml:space="preserve">Zauber Technology GmbH</t>
  </si>
  <si>
    <t xml:space="preserve">Ashby returns Job not found.</t>
  </si>
  <si>
    <t xml:space="preserve">https://jobs.ashbyhq.com/zauber/be28d274-8d61-43db-8dea-fe643ed69e0d</t>
  </si>
  <si>
    <t xml:space="preserve">Required essay: Describe a specific production LLM system you have built or significantly contributed to, including the problem, your evaluation strategy, a critical failure mode you discovered, and the impact. Barcelona, and the better of the two Lodgify reqs for him by a distance. His FlowSpace support agents and the UltraStrategy CV parser both answer this, and the failure-mode part is exactly the non-determinism testing his profile already claims. Fifteen minutes of his writing and it goes. Everything else on the form is standard and I have the answers.</t>
  </si>
  <si>
    <t xml:space="preserve">https://jobs.lever.co/lodgify/d99f7960-cf71-4fd9-b87a-08066b00d07e/apply</t>
  </si>
  <si>
    <t xml:space="preserve">Vibiz</t>
  </si>
  <si>
    <t xml:space="preserve">AI Full-Stack Engineer (contract, remote, full or part time)</t>
  </si>
  <si>
    <t xml:space="preserve">What have you built and created? They say they prioritise real agency over credentials and want anything he is proud of, in his own words. Milan, remote, contract, and the form is otherwise trivial. No cover letter box, so it passes his rule, but this question is the whole application and it has to be his voice. A few paragraphs on the FlowSpace migration, the support agents and the CV parser would carry it.</t>
  </si>
  <si>
    <t xml:space="preserve">https://jobs.ashbyhq.com/vibiz/e4d28e9f-6833-418c-bb91-d96f6f0cedca/application</t>
  </si>
  <si>
    <t xml:space="preserve">Swans</t>
  </si>
  <si>
    <t xml:space="preserve">Forward Deployed Engineer (Implementation Consultant, CRM, automation, data)</t>
  </si>
  <si>
    <t xml:space="preserve">A video walkthrough of a project he is proud of. Their words: applications submitted without a video or demo will not be reviewed. Fit 87, fully remote, and the self-rating questions suit him: n8n and Make automation at Advanced, client-facing work at Presenter or Lead Consultant, English C1 or C2. Two things to know before he records anything. Compensation is asked in USD, not euros. And they forbid outside employment or agency work of any kind including part time while working with them, which would end the freelance side of his search. A five-minute screen recording of the UltraStrategy CV parser or the FlowSpace support agents is the whole barrier.</t>
  </si>
  <si>
    <t xml:space="preserve">https://jobs.ashbyhq.com/swans/c5c62cfc-8248-4295-8e00-36e3261025c4/application</t>
  </si>
  <si>
    <t xml:space="preserve">Alignerr</t>
  </si>
  <si>
    <t xml:space="preserve">Software Engineer, PHP - AI Training (Freelance)</t>
  </si>
  <si>
    <t xml:space="preserve">The entire Alignerr job board is gone. Greenhouse says the job board you were viewing is no longer active, so all three Alignerr rows can be retired.</t>
  </si>
  <si>
    <t xml:space="preserve">https://job-boards.greenhouse.io/alignerr/jobs/4714343007</t>
  </si>
  <si>
    <t xml:space="preserve">Coders - AI Training (Freelance, Remote)</t>
  </si>
  <si>
    <t xml:space="preserve">https://job-boards.greenhouse.io/alignerr/jobs/4362423007</t>
  </si>
  <si>
    <t xml:space="preserve">Engineer, DevOps Infrastructure as Code (IaC)</t>
  </si>
  <si>
    <t xml:space="preserve">https://job-boards.greenhouse.io/alignerr/jobs/4769519007</t>
  </si>
  <si>
    <t xml:space="preserve">Junior AI Platform Engineer</t>
  </si>
  <si>
    <t xml:space="preserve">https://jobs.ashbyhq.com/rossum.ai/ba7beef9-03ff-4624-9e03-d8d6ea593b64</t>
  </si>
  <si>
    <t xml:space="preserve">Sr. Solutions Engineer</t>
  </si>
  <si>
    <t xml:space="preserve">no truthful option on the work-right dropdown</t>
  </si>
  <si>
    <t xml:space="preserve">Spain, remote, and the posting states applicants must have the legal right to work in Spain without visa sponsorship. The form then offers four options and none of them describe him: Spanish citizen or permanent resident, citizen of a country with unlimited right to work there, valid Spanish work visa, or needs sponsorship. His Italian EU long-term residence permit gives him Article 14 mobility to Spain, which is a permit application rather than employer sponsorship, and that is not on the list. Same shape as the capital.com Cyprus form. Filled and abandoned, nothing sent. The public link also bounces to wiz.io; the working form is the Greenhouse embed above.</t>
  </si>
  <si>
    <t xml:space="preserve">https://boards.greenhouse.io/embed/job_app?for=wizinc&amp;token=4701893006</t>
  </si>
  <si>
    <t xml:space="preserve">Amenitiz</t>
  </si>
  <si>
    <t xml:space="preserve">Senior Front-end Engineer</t>
  </si>
  <si>
    <t xml:space="preserve">The whole Amenitiz Greenhouse board returns Page not found, so both Amenitiz rows can be retired.</t>
  </si>
  <si>
    <t xml:space="preserve">https://job-boards.greenhouse.io/amenitiz</t>
  </si>
  <si>
    <t xml:space="preserve">Associate Software Engineer</t>
  </si>
  <si>
    <t xml:space="preserve">Weaviate</t>
  </si>
  <si>
    <t xml:space="preserve">Developer Advocate Intern</t>
  </si>
  <si>
    <t xml:space="preserve">A portfolio in PDF, or their take-home challenge. Europe, remote. Worth knowing it is an internship, so weigh it against three years of experience and his 30k to 40k expectation. Their limit is three applications per 30 days across the whole Weaviate board.</t>
  </si>
  <si>
    <t xml:space="preserve">https://jobs.ashbyhq.com/weaviate/0d1c47c4-bc5b-45d8-8791-8f30f0fb2a12/application</t>
  </si>
  <si>
    <t xml:space="preserve">Ascending AI</t>
  </si>
  <si>
    <t xml:space="preserve">Full-Stack AI Engineer (mid-level)</t>
  </si>
  <si>
    <t xml:space="preserve">Recruitee says this job does not exist or was removed.</t>
  </si>
  <si>
    <t xml:space="preserve">https://ascendingai.recruitee.com/o/full-stack-engineer-mid-level</t>
  </si>
  <si>
    <t xml:space="preserve">Super Technologies</t>
  </si>
  <si>
    <t xml:space="preserve">Redirects to the Super Technologies board index with an error flag.</t>
  </si>
  <si>
    <t xml:space="preserve">https://job-boards.eu.greenhouse.io/super/jobs/4821514101</t>
  </si>
  <si>
    <t xml:space="preserve">Full Stack Engineer - Growth and Marketing</t>
  </si>
  <si>
    <t xml:space="preserve">Required free text: Why should a salon go digital?. Fit 87, tier 1, remote across Italy and Spain, and there is NO cover letter field, so it clears his rule. The only barrier is that one question, which is a judgement call about their market and has to be his. Two minutes of writing. Everything else I have: salary now 40,000 to 50,000, city Venice Italy, and a free-text residency box where he can explain the Italian EU long-term permit properly instead of squeezing it into a dropdown. Note the working link is jobs.treatwell.com/_/j/B7E88C102B/apply, not the jobs.workable.com mirror, which uses a different token and 404s.</t>
  </si>
  <si>
    <t xml:space="preserve">https://jobs.treatwell.com/_/j/B7E88C102B/apply</t>
  </si>
  <si>
    <t xml:space="preserve">Microsoft 365 AI and Automation Specialist (m/f/d), Dortmund</t>
  </si>
  <si>
    <t xml:space="preserve">CV cannot be attached from this browser</t>
  </si>
  <si>
    <t xml:space="preserve">The form itself is fine and everything else was filled: name, email, Venice Veneto Italy, Italian phone. SmartRecruiters puts the resume upload inside a shadow DOM component that the browser tooling cannot reach, so the CV could not be attached and nothing was sent. Two minutes for him by hand. Strong fit too: the role is Microsoft 365 AI and automation, and he holds the Copilot Studio Agent Academy and Power Automate certifications.</t>
  </si>
  <si>
    <t xml:space="preserve">https://jobs.smartrecruiters.com/BEUMERGroup1/744000128890468</t>
  </si>
  <si>
    <t xml:space="preserve">Microsoft 365 AI and Automation Specialist (m/f/d), Beckum</t>
  </si>
  <si>
    <t xml:space="preserve">https://jobs.smartrecruiters.com/BEUMERGroup1/744000118435467</t>
  </si>
  <si>
    <t xml:space="preserve">Full Stack Software Development Engineer (React and PHP reqs)</t>
  </si>
  <si>
    <t xml:space="preserve">domain not reachable from this browser</t>
  </si>
  <si>
    <t xml:space="preserve">careers.launchmetrics.com is refused by the extension the same way teamtailor.com is. Both Launchmetrics reqs and the Associate Product Builder req are behind it.</t>
  </si>
  <si>
    <t xml:space="preserve">https://careers.launchmetrics.com/jobs/8102801-full-stack-software-development-engineer-react</t>
  </si>
  <si>
    <t xml:space="preserve">Intercom (Fin)</t>
  </si>
  <si>
    <t xml:space="preserve">Greenhouse says the job you are looking for is no longer open. The board is now branded Fin.</t>
  </si>
  <si>
    <t xml:space="preserve">https://job-boards.greenhouse.io/intercom/jobs/6436276</t>
  </si>
  <si>
    <t xml:space="preserve">Outreach targets - companies to approach directly</t>
  </si>
  <si>
    <t xml:space="preserve">Not job postings. These are companies where a direct message could create a role or a paid project. Nobody named here is invented: a person appears only where the company publishes their name and role on its own site, and no email address is guessed.</t>
  </si>
  <si>
    <t xml:space="preserve">What they do</t>
  </si>
  <si>
    <t xml:space="preserve">Approach as</t>
  </si>
  <si>
    <t xml:space="preserve">Why he is worth their time</t>
  </si>
  <si>
    <t xml:space="preserve">Route in (LinkedIn title to search)</t>
  </si>
  <si>
    <t xml:space="preserve">Company LinkedIn</t>
  </si>
  <si>
    <t xml:space="preserve">Published email or apply page</t>
  </si>
  <si>
    <t xml:space="preserve">What to lead with</t>
  </si>
  <si>
    <t xml:space="preserve">Watch-outs</t>
  </si>
  <si>
    <t xml:space="preserve">Source</t>
  </si>
  <si>
    <t xml:space="preserve">0hands (also trading as WeMakeFuture)</t>
  </si>
  <si>
    <t xml:space="preserve">German iPaaS and automation consultancy, certified Make Gold Partner, also delivering Zapier, Workato, Power Automate, n8n and Airtable</t>
  </si>
  <si>
    <t xml:space="preserve">Germany</t>
  </si>
  <si>
    <t xml:space="preserve">both</t>
  </si>
  <si>
    <t xml:space="preserve">They deliver on both Power Automate and n8n, so his Copilot Studio and Power Automate certification plus his production n8n agentic workflows covers two of their platform lines with one hire. Their own agency pages sell CRM and customer management automation, which is precisely the lead capture and enrichment into CRM he built at FlowSpace.</t>
  </si>
  <si>
    <t xml:space="preserve">They publish a jobs page at 0hands.com/jobs. Matthias Kunz appears on their own site as the person running consultation calls. On LinkedIn search WeMakeFuture for Automation Consultant, Make Developer or Integration Engineer.</t>
  </si>
  <si>
    <t xml:space="preserve">https://www.linkedin.com/company/wemakefuture/</t>
  </si>
  <si>
    <t xml:space="preserve">I am Power Automate and Copilot Studio certified and I have shipped n8n agents with human approval and retry logic into production, so I cover two of your platform lines at EUR 200 a day.</t>
  </si>
  <si>
    <t xml:space="preserve">Bilingual site but the client base is largely German-speaking Mittelstand, so pitch as delivery capacity behind a German-speaking lead. Two brand names in play, so confirm which entity is current before invoicing.</t>
  </si>
  <si>
    <t xml:space="preserve">0hands.com Make.com expert partner page</t>
  </si>
  <si>
    <t xml:space="preserve">AOE Group</t>
  </si>
  <si>
    <t xml:space="preserve">German digital agency and certified n8n partner building AI automation, custom n8n nodes and enterprise integration</t>
  </si>
  <si>
    <t xml:space="preserve">Wiesbaden, Germany</t>
  </si>
  <si>
    <t xml:space="preserve">Their listed n8n services are custom nodes and integrations, process and workflow design, and AI solutions. He covers all three with production evidence, and his Node.js and TypeScript background means he can write custom n8n nodes rather than only wire existing ones. Enterprise clients specifically need the retry, error handling and human-in-the-loop patterns he has already built.</t>
  </si>
  <si>
    <t xml:space="preserve">On LinkedIn search AOE for Automation Engineer, Integration Engineer or Partner Manager. No named person on the n8n partner listing.</t>
  </si>
  <si>
    <t xml:space="preserve">https://de.linkedin.com/company/aoe</t>
  </si>
  <si>
    <t xml:space="preserve">I build custom n8n integrations and agentic workflows with proper retry and error handling, and I write the surrounding Node.js and TypeScript, so you get one person instead of two.</t>
  </si>
  <si>
    <t xml:space="preserve">Their n8n listing states project budgets of USD 10,000 to over 100,000 and languages English and German, so they are enterprise-leaning and German is likely for client-facing work. They may read EUR 200 a day as too cheap to be credible, so lead with the production evidence first and the rate second.</t>
  </si>
  <si>
    <t xml:space="preserve">experts.n8n.io/partner/aoe-group</t>
  </si>
  <si>
    <t xml:space="preserve">Aticco</t>
  </si>
  <si>
    <t xml:space="preserve">Spanish coworking operator with 14 locations across Barcelona, Madrid and Valencia, including a 20,000 sqm Barcelona campus opened 2026</t>
  </si>
  <si>
    <t xml:space="preserve">Barcelona, Spain</t>
  </si>
  <si>
    <t xml:space="preserve">They have just opened the largest coworking campus in Southern Europe and are pushing into Lisbon. Growth at that rate breaks whatever manual member-onboarding and booking process worked at five sites. He built member lifecycle automation, the booking flow and AI support agents on a live coworking platform and integrated Office RnD and Nexudus, so he can wire new sites into an existing stack rather than rebuilding per location.</t>
  </si>
  <si>
    <t xml:space="preserve">Search at Aticco for Head of Technology, CTO, Product Manager, Head of Operations or Growth Manager. No executives named in the coverage found.</t>
  </si>
  <si>
    <t xml:space="preserve">https://www.linkedin.com/company/aticco</t>
  </si>
  <si>
    <t xml:space="preserve">Going from 14 locations to a 20,000 sqm campus plus Lisbon means your member onboarding and booking flow needs to scale without more front-desk headcount. That is the automation layer I built for a live coworking platform.</t>
  </si>
  <si>
    <t xml:space="preserve">Spanish and Catalan likely required internally, so freelance is the realistic route. Fast physical expansion can mean tech spend is squeezed by fit-out capex.</t>
  </si>
  <si>
    <t xml:space="preserve">coworkingeurope.net</t>
  </si>
  <si>
    <t xml:space="preserve">Cloudworks</t>
  </si>
  <si>
    <t xml:space="preserve">Spanish coworking and flexible office operator with 9 spaces in Barcelona and 2 in Madrid</t>
  </si>
  <si>
    <t xml:space="preserve">Eleven sites is exactly the size where member lifecycle admin, room booking and inbound tour enquiries are still done by hand across a shared inbox. He built lead capture and enrichment into the CRM plus outbound and sales-funnel automation for a coworking booking platform, and separately the member lifecycle automation and AI support agents, so he can address both their sales side and their operations side with one stack.</t>
  </si>
  <si>
    <t xml:space="preserve">Search at Cloudworks for Head of Marketing, Operations Manager, Head of Growth or IT Manager. Marta Gracia is identified as CEO in press coverage linked from their own pressroom at wearecloudworks.com/en/press. Verify the current title on their site before naming her.</t>
  </si>
  <si>
    <t xml:space="preserve">https://www.linkedin.com/company/wearecloudworks</t>
  </si>
  <si>
    <t xml:space="preserve">not stated, phone +34 930 18 09 15 published</t>
  </si>
  <si>
    <t xml:space="preserve">With 11 sites your tour enquiries and member onboarding are probably still a shared inbox. I built the lead capture, enrichment and CRM routing for a coworking booking platform and can do the same here in weeks, not quarters.</t>
  </si>
  <si>
    <t xml:space="preserve">Spanish and Catalan operating language. Independently owned so budget is smaller than a software vendor's, anchor at the lower end of his day rate.</t>
  </si>
  <si>
    <t xml:space="preserve">wearecloudworks.com/en/press</t>
  </si>
  <si>
    <t xml:space="preserve">Cobot</t>
  </si>
  <si>
    <t xml:space="preserve">Berlin-built coworking space management software, about 15 years old, with a public API and integrations marketplace</t>
  </si>
  <si>
    <t xml:space="preserve">Berlin, Germany</t>
  </si>
  <si>
    <t xml:space="preserve">He is one of very few people who has consumed Office RnD, Nexudus and Clubee APIs from the outside as a marketplace, so he knows precisely which endpoints and webhooks a space-management platform must expose for aggregators to plug in. That is the exact surface Cobot's dev.cobot.me API competes on. He also shipped AI support agents and member lifecycle automation on a live coworking product.</t>
  </si>
  <si>
    <t xml:space="preserve">Search at Cobot for Head of Product, Product Manager, Engineering Lead or Partnerships. Founders published by name on cobot.me/en/about: Thilo Utke, Alexander Lang, Kristina Schneider. Careers page cobot.me/en/careers.</t>
  </si>
  <si>
    <t xml:space="preserve">https://www.linkedin.com/company/cobot/</t>
  </si>
  <si>
    <t xml:space="preserve">I integrated a coworking marketplace into Office RnD, Nexudus and Clubee, and I can tell you in ten minutes which three gaps in a space-management API stop aggregators from listing your customers' inventory.</t>
  </si>
  <si>
    <t xml:space="preserve">Small independent team that hires rarely, so a posted role is unlikely and this is a genuine cold approach. German-language customer base though the product is English. Bootstrapped, so contract rates may be tight.</t>
  </si>
  <si>
    <t xml:space="preserve">cobot.me/en/about</t>
  </si>
  <si>
    <t xml:space="preserve">Copernico</t>
  </si>
  <si>
    <t xml:space="preserve">Italian serviced-office and coworking operator running buildings in seven cities including eight in Milan, plus Brussels</t>
  </si>
  <si>
    <t xml:space="preserve">Milan, Italy</t>
  </si>
  <si>
    <t xml:space="preserve">Fifteen-plus buildings across seven cities means member onboarding, meeting-room booking, invoicing and support tickets are handled by people in each building rather than by a system. He built exactly that automation layer for a live coworking platform, on top of Office RnD and Nexudus, which is the software category Copernico is almost certainly running.</t>
  </si>
  <si>
    <t xml:space="preserve">Search at Copernico for IT Manager, Head of Digital, Digital Transformation Manager, Operations Manager or Marketing Manager. No leadership named on coperni.co.</t>
  </si>
  <si>
    <t xml:space="preserve">https://www.linkedin.com/company/copernicowork/</t>
  </si>
  <si>
    <t xml:space="preserve">do NOT cold-email their published PEC address, it is Italian certified mail for legal notices. Phone published as +39 0236003764.</t>
  </si>
  <si>
    <t xml:space="preserve">Across eight Milan buildings your teams are probably doing member onboarding and room-booking admin by hand. I automated that whole layer for a live Italian coworking platform on top of Office RnD and Nexudus.</t>
  </si>
  <si>
    <t xml:space="preserve">Italian is near-certain for an employed role, so pitch this as freelance delivery. Real-estate-led business, so technology budget may sit under facilities rather than product.</t>
  </si>
  <si>
    <t xml:space="preserve">coperni.co/en/milan</t>
  </si>
  <si>
    <t xml:space="preserve">Coworkies</t>
  </si>
  <si>
    <t xml:space="preserve">Global directory of verified coworking spaces plus the sector's coworking-specific job board and a consultancy arm</t>
  </si>
  <si>
    <t xml:space="preserve">Their directory is built by hand. Their own about page says they researched 700+ coworking spaces across 60+ cities, and the job board is populated space by space. That manual supply problem is precisely what his FlowSpace scraping and parsing pipeline solved, and his lead enrichment work maps onto keeping space profiles and contacts current.</t>
  </si>
  <si>
    <t xml:space="preserve">Message the founders directly. Both are published by name and role on coworkies.com/about: Pauline Roussel, CEO and Co-founder, and Dimitar Inchev, CTO and Co-founder.</t>
  </si>
  <si>
    <t xml:space="preserve">https://www.linkedin.com/company/coworkies</t>
  </si>
  <si>
    <t xml:space="preserve">read the addresses off coworkies.com/about directly, they were masked in the fetched version</t>
  </si>
  <si>
    <t xml:space="preserve">Your directory of 700+ verified spaces looks hand-researched. I built the scraping and parsing pipeline that grew listings supply at a coworking booking platform and could automate the refresh so your team stops re-verifying by hand.</t>
  </si>
  <si>
    <t xml:space="preserve">Tiny bootstrapped company, so a salaried role is unlikely and even EUR 200 a day may be a stretch. Treat this as a relationship and referral node into the whole European coworking scene. They also run the sector job board, which makes Pauline an unusually good person to know regardless.</t>
  </si>
  <si>
    <t xml:space="preserve">coworkies.com/about</t>
  </si>
  <si>
    <t xml:space="preserve">Deskimo</t>
  </si>
  <si>
    <t xml:space="preserve">On-demand workspace booking app where users pay by the minute, YC S21, expanding from Asia into Europe</t>
  </si>
  <si>
    <t xml:space="preserve">Singapore, with European operations including Germany</t>
  </si>
  <si>
    <t xml:space="preserve">Pay-per-minute means check-in, availability and billing have to be correct in real time against whatever system each partner space runs. He built the booking flow on a live coworking marketplace and the integrations into Office RnD, Nexudus and Clubee, the exact connectors Deskimo needs as it adds European partner spaces, since European operators run on that software rather than the Asian stack.</t>
  </si>
  <si>
    <t xml:space="preserve">Search at Deskimo for Head of Supply, Partnerships Manager, Country Manager Europe, Head of Expansion or Software Engineer. No individual confirmed published on their own site.</t>
  </si>
  <si>
    <t xml:space="preserve">https://www.linkedin.com/company/deskimoapp</t>
  </si>
  <si>
    <t xml:space="preserve">As you add European partner spaces you will hit Office RnD, Nexudus and Clubee. I have already built and run live integrations with all three from the marketplace side.</t>
  </si>
  <si>
    <t xml:space="preserve">Singapore HQ and APAC-centric, so timezone overlap is limited and employment would likely be contract rather than an EU role. The European push is recent so the team on the ground may be thin.</t>
  </si>
  <si>
    <t xml:space="preserve">deskimo.com, ycombinator.com</t>
  </si>
  <si>
    <t xml:space="preserve">Digitalcube</t>
  </si>
  <si>
    <t xml:space="preserve">Official n8n Partner in Spain doing n8n consulting, implementation, training and support alongside AWS infrastructure</t>
  </si>
  <si>
    <t xml:space="preserve">Mostoles, Madrid, Spain</t>
  </si>
  <si>
    <t xml:space="preserve">As an official n8n partner their whole book of business is n8n delivery, and he has run n8n agentic workflows with human-in-the-loop steps, tool definitions and retry logic in production rather than as demos. He also brings Supabase, Postgres and REST plus Next.js and Laravel, so he can absorb the parts of a client project that fall outside the n8n canvas.</t>
  </si>
  <si>
    <t xml:space="preserve">On LinkedIn search Digitalcube AI for n8n Consultant, Automation Engineer or Head of Delivery. No named person published on their site.</t>
  </si>
  <si>
    <t xml:space="preserve">https://www.linkedin.com/company/digitalcubeai/</t>
  </si>
  <si>
    <t xml:space="preserve">sales@digitalcube.ai</t>
  </si>
  <si>
    <t xml:space="preserve">I have shipped n8n agents with human approval steps and retry handling into a live product, and at EUR 200 a day I am well under EU agency contractor rates for overflow delivery.</t>
  </si>
  <si>
    <t xml:space="preserve">Spanish-first market and he has no Spanish, so position as build capacity behind a Spanish-speaking account lead rather than a client-facing consultant.</t>
  </si>
  <si>
    <t xml:space="preserve">digitalcube.ai official n8n partner page</t>
  </si>
  <si>
    <t xml:space="preserve">Flexas.com</t>
  </si>
  <si>
    <t xml:space="preserve">Office and flexible workspace marketplace and brokerage across 10+ European countries including Italy</t>
  </si>
  <si>
    <t xml:space="preserve">Amsterdam, Netherlands</t>
  </si>
  <si>
    <t xml:space="preserve">Flexas is a listings marketplace whose revenue depends on the two things he personally owned at FlowSpace: keeping a large multi-country listings database fresh, and converting inbound demand. He built the scraping and parsing pipeline that grew listings supply, and separately built lead capture and enrichment straight into the CRM plus outbound and sales-funnel automation.</t>
  </si>
  <si>
    <t xml:space="preserve">Search at Flexas.com for CEO, Head of Marketing, Operations Manager or Product Owner. Marcel de Groot is published as CEO on flexas.com/about-us.</t>
  </si>
  <si>
    <t xml:space="preserve">https://www.linkedin.com/company/flexas</t>
  </si>
  <si>
    <t xml:space="preserve">not stated, phone +31 85 485 21 84 published</t>
  </si>
  <si>
    <t xml:space="preserve">At a coworking booking marketplace I built the listings scraping pipeline and the lead capture and enrichment flow into the CRM. For a 13-person brokerage covering 10 countries that is the highest-leverage automation you can buy.</t>
  </si>
  <si>
    <t xml:space="preserve">Dutch home market and much of the site is Dutch, so an employed role may want Dutch. The freelance angle is safer. Brokerage rather than product company, so there may be no engineering function to join.</t>
  </si>
  <si>
    <t xml:space="preserve">flexas.com/about-us</t>
  </si>
  <si>
    <t xml:space="preserve">Impact Hub</t>
  </si>
  <si>
    <t xml:space="preserve">Global federated network of impact-focused coworking hubs with a large European footprint including Impact Hub Milano</t>
  </si>
  <si>
    <t xml:space="preserve">Federated; hubs are independently owned</t>
  </si>
  <si>
    <t xml:space="preserve">A federated network means every hub runs its own tooling and the network office keeps trying to standardise. He has built the standard pieces for a live coworking product and connected them across Office RnD, Nexudus and Clubee, so he can build one automation template hubs adopt rather than a bespoke build per city. Starting with Impact Hub Milano gives him an in-country, in-person first conversation.</t>
  </si>
  <si>
    <t xml:space="preserve">Start local: search at Impact Hub Milano for Community Manager, Head of Operations or Managing Director. For the network, search Impact Hub Network for Head of Technology, Product Manager or Network Services.</t>
  </si>
  <si>
    <t xml:space="preserve">https://www.linkedin.com/company/impacthubmilano and https://www.linkedin.com/company/impacthubnetwork</t>
  </si>
  <si>
    <t xml:space="preserve">I built the booking and member lifecycle automation for a live coworking platform on top of Office RnD and Nexudus. Packaged as a template, that is something individual Hubs could each switch on rather than each rebuilding.</t>
  </si>
  <si>
    <t xml:space="preserve">Federated and non-profit-leaning, so no central budget and each hub decides alone. Expect long cycles and small budgets. Milano is the sensible entry point given he is in Italy.</t>
  </si>
  <si>
    <t xml:space="preserve">impacthub.net/locations</t>
  </si>
  <si>
    <t xml:space="preserve">Makeitfuture</t>
  </si>
  <si>
    <t xml:space="preserve">Make.com certified Platinum Partner delivering workflow automation and AI integration on Make, n8n and Zapier</t>
  </si>
  <si>
    <t xml:space="preserve">Cluj-Napoca, Romania, with London and Paris offices</t>
  </si>
  <si>
    <t xml:space="preserve">They sell n8n automation services, n8n app development and platform migrations. He did the hardest version of that at FlowSpace: a Bubble.io to Next.js and Laravel migration on a live product that kept serving users while it grew from 2,000 to 4,500+. He can take a migration or an agentic n8n build end to end including the app around it, which their Make-first consultants cannot.</t>
  </si>
  <si>
    <t xml:space="preserve">Better than a cold message: their partner application page at makeitfuture.com/partners. On LinkedIn search for Automation Consultant, Delivery Manager or Partnerships Manager.</t>
  </si>
  <si>
    <t xml:space="preserve">https://www.linkedin.com/company/makeitfuture/</t>
  </si>
  <si>
    <t xml:space="preserve">contact@makeitfuture.eu</t>
  </si>
  <si>
    <t xml:space="preserve">I ship n8n agentic workflows with human-in-the-loop approval and retry handling in production, and I can also build the Next.js or Laravel app around them, at EUR 200 a day.</t>
  </si>
  <si>
    <t xml:space="preserve">Registration appears UK-based, so an employed role could land in the UK entity and need sponsorship. Push for the Romanian or French entity, or go freelance. Confirm they contract with an individual Partita IVA.</t>
  </si>
  <si>
    <t xml:space="preserve">makeitfuture.com Make.com expert partner page</t>
  </si>
  <si>
    <t xml:space="preserve">Nebor</t>
  </si>
  <si>
    <t xml:space="preserve">Amsterdam GTM agency building full go-to-market revenue engines covering outbound, inbound, intent data and RevOps, with Clay at the centre</t>
  </si>
  <si>
    <t xml:space="preserve">A two-person Clay agency runs out of build capacity long before it runs out of demand. His FlowSpace work is their exact deliverable: lead capture and enrichment into the CRM, outbound and sales-funnel automation, and a scraping and parsing pipeline. He adds n8n as the orchestration layer under Clay, plus the ability to build an internal app when a client outgrows the no-code stack.</t>
  </si>
  <si>
    <t xml:space="preserve">On LinkedIn search Nebor for Founder, GTM Engineer or Growth Engineer. Andrew van Rossenberg and Yannick Kok are named as the two founders on Nebor's own blog.</t>
  </si>
  <si>
    <t xml:space="preserve">not stated, use LinkedIn people search</t>
  </si>
  <si>
    <t xml:space="preserve">I built lead capture, enrichment into CRM and outbound automation plus the scraping pipeline behind them at a live platform, and I can sit under your Clay stack at EUR 200 a day.</t>
  </si>
  <si>
    <t xml:space="preserve">Two-person shop, so a salaried hire is unlikely and cash is tight. Pitch overflow delivery, not a job. Verify they can pay an Italian sole trader.</t>
  </si>
  <si>
    <t xml:space="preserve">nebor.ai</t>
  </si>
  <si>
    <t xml:space="preserve">STX Next</t>
  </si>
  <si>
    <t xml:space="preserve">Polish software house of 500+ engineers offering enterprise n8n development, AI development, data engineering and custom software</t>
  </si>
  <si>
    <t xml:space="preserve">Poznan, Poland</t>
  </si>
  <si>
    <t xml:space="preserve">They market Enterprise n8n Development for secure agents and high-volume workflows, which is the exact class of work he has shipped: agentic n8n with retries, error handling and human approval steps. He also brings the full-stack layer their client projects need in Next.js, React, Node and Laravel, so he is billable across two practice lines.</t>
  </si>
  <si>
    <t xml:space="preserve">Careers at career.stxnext.com. On LinkedIn search STX Next for AI Engineer, Automation Engineer or Delivery Manager.</t>
  </si>
  <si>
    <t xml:space="preserve">https://www.linkedin.com/company/stx-next-ai-solutions</t>
  </si>
  <si>
    <t xml:space="preserve">business@stxnext.com</t>
  </si>
  <si>
    <t xml:space="preserve">I have production n8n agent workflows with retries, error handling and human approval steps behind them, plus Next.js and Laravel, so I can staff both your n8n and your app work.</t>
  </si>
  <si>
    <t xml:space="preserve">Large enough to behave like a staffing house on some accounts. Polish salary bands may sit at or below his target for an employed role, so the freelance route is stronger. Confirm B2B contracting with an Italian Partita IVA.</t>
  </si>
  <si>
    <t xml:space="preserve">stxnext.com</t>
  </si>
  <si>
    <t xml:space="preserve">Saleslift Studio</t>
  </si>
  <si>
    <t xml:space="preserve">Amsterdam B2B outbound agency designing and executing outbound prospecting, sales development and appointment setting for clients</t>
  </si>
  <si>
    <t xml:space="preserve">They already employ people with the exact job title Go-to-Market Engineer, so the function exists and at 13 people it is thin. His FlowSpace work is that job: lead capture and enrichment into the CRM, outbound and sales-funnel automation, and a scraping and parsing pipeline. On top of that he can build the internal tooling in Next.js and Laravel that an agency of that size normally has to buy.</t>
  </si>
  <si>
    <t xml:space="preserve">Careers page at salesliftstudio.com/en/careers. On LinkedIn search Saleslift Studio for the job title Go-to-Market Engineer. Their about page names Terry van den Bemt and Davy Guijt as founders, and Noor van der Plas and Sophie Appels as Go-to-Market Engineers.</t>
  </si>
  <si>
    <t xml:space="preserve">https://www.linkedin.com/company/saleslift-studio/</t>
  </si>
  <si>
    <t xml:space="preserve">hello@salesliftstudio.com</t>
  </si>
  <si>
    <t xml:space="preserve">I have done the GTM engineer job in-house: lead capture, CRM enrichment, outbound automation and the scraping pipeline feeding it, and I can build the internal tools around it too.</t>
  </si>
  <si>
    <t xml:space="preserve">Dutch market with a Dutch site option, so some client work will be in Dutch. Sell the engineering seat, not the client-facing one. Team of about 13 means headcount is limited, though a EUR 30,000-40,000 salary is realistic there.</t>
  </si>
  <si>
    <t xml:space="preserve">salesliftstudio.com/en/about-us</t>
  </si>
  <si>
    <t xml:space="preserve">Spacebring (formerly andcards)</t>
  </si>
  <si>
    <t xml:space="preserve">White-label coworking space management and member app software sold to operators worldwide</t>
  </si>
  <si>
    <t xml:space="preserve">not stated on their own site; incorporated 2017</t>
  </si>
  <si>
    <t xml:space="preserve">Spacebring sells a white-label member app, so their customers' switching decision turns on whether the app automates the member lifecycle and answers members without staff. He built AI support agents and member lifecycle automation on a live coworking product using OpenAI and Anthropic APIs orchestrated in n8n with tool definitions and human-in-the-loop, while sitting on top of Office RnD and Nexudus. He knows what operators actually leave those platforms for.</t>
  </si>
  <si>
    <t xml:space="preserve">Search at Spacebring for Head of Product, Product Manager, Customer Success Manager, Partnerships Manager or Solutions Engineer. No individuals are named on spacebring.com/about.</t>
  </si>
  <si>
    <t xml:space="preserve">https://www.linkedin.com/company/spacebring</t>
  </si>
  <si>
    <t xml:space="preserve">sales@spacebring.com, published on spacebring.com/about</t>
  </si>
  <si>
    <t xml:space="preserve">I built the AI support agent and member lifecycle automation for a coworking platform that ran on Office RnD and Nexudus, so I can tell you which member-app gaps operators actually churn over.</t>
  </si>
  <si>
    <t xml:space="preserve">HQ and headcount not published anywhere on their own site. Rebranded from andcards in 2024, so older references use the old name. Verify they can contract an EU sole trader.</t>
  </si>
  <si>
    <t xml:space="preserve">spacebring.com/about</t>
  </si>
  <si>
    <t xml:space="preserve">Spacent</t>
  </si>
  <si>
    <t xml:space="preserve">Flexible workspace network giving companies access to 1,000+ coworking spaces across the Nordics, UK and continental Europe</t>
  </si>
  <si>
    <t xml:space="preserve">Helsinki, Finland</t>
  </si>
  <si>
    <t xml:space="preserve">Spacent's whole business is supply: onboarding 1,000+ third-party spaces and keeping availability accurate. That is literally what he did at FlowSpace. He built the scraping and parsing pipeline that grew listings supply and took the platform from 2,000 to 4,500+ users, and he wrote the live integrations into Office RnD, Nexudus and Clubee, the three systems a network like this has to sync against to know whether a desk is actually free.</t>
  </si>
  <si>
    <t xml:space="preserve">Search at Spacent for Head of Supply, Partnerships Manager, Head of Product, Product Manager or Software Engineer. No individual is named on their site, so do not guess one.</t>
  </si>
  <si>
    <t xml:space="preserve">https://www.linkedin.com/company/spacent/</t>
  </si>
  <si>
    <t xml:space="preserve">hello@spacent.com and support@spacent.com, both published in the footer of spacent.com/news</t>
  </si>
  <si>
    <t xml:space="preserve">I built the supply-side scraping and parsing pipeline plus the Office RnD, Nexudus and Clubee integrations at a coworking booking marketplace, so I know exactly where partner availability data goes stale and how to fix it.</t>
  </si>
  <si>
    <t xml:space="preserve">Nordics-weighted so some roles may prefer Finnish or Swedish, though the product and site are English. Company size not published, so contractor budget is unverified.</t>
  </si>
  <si>
    <t xml:space="preserve">spacent.com/news</t>
  </si>
  <si>
    <t xml:space="preserve">Talent Garden</t>
  </si>
  <si>
    <t xml:space="preserve">Italian coworking and digital-education campus network, expanding internationally again with a second Vilnius campus</t>
  </si>
  <si>
    <t xml:space="preserve">He is in Italy, in the industry, and has done what a campus network needs: member lifecycle automation and a booking flow on a live coworking product, plus AI support agents that answer members without adding front-desk staff. He also led a Bubble.io to Next.js and Laravel migration on a live product without taking it down, which is the exact risk profile of modernising a campus booking and membership system already in daily use.</t>
  </si>
  <si>
    <t xml:space="preserve">Search at Talent Garden for Head of Product, Product Manager, Head of Digital, IT Manager, CTO or Operations Manager. Founder Davide Dattoli is widely published but verify his current role before referencing him.</t>
  </si>
  <si>
    <t xml:space="preserve">https://www.linkedin.com/company/talentgarden</t>
  </si>
  <si>
    <t xml:space="preserve">I automated the member lifecycle and rebuilt the booking flow for a live coworking platform in Italy, and migrated it from Bubble to Next.js and Laravel without downtime.</t>
  </si>
  <si>
    <t xml:space="preserve">Italian is likely expected internally and he is English only, so lead with the freelance angle where written English is enough. The company has leaned heavily into education and training, so coworking tech may not be where budget sits. Multiple LinkedIn pages exist, so confirm the right one.</t>
  </si>
  <si>
    <t xml:space="preserve">coworkingeurope.net, talentgarden.com</t>
  </si>
  <si>
    <t xml:space="preserve">Workfloows</t>
  </si>
  <si>
    <t xml:space="preserve">n8n Expert Partner building production workflows, AI and LLM agents, APIs and managed data feeds for e-commerce pricing, job listings and real estate</t>
  </si>
  <si>
    <t xml:space="preserve">Poland</t>
  </si>
  <si>
    <t xml:space="preserve">Their managed data feed products are scraping and parsing pipelines run at scale, which is exactly what he built at FlowSpace. They also sell AI and LLM agents plus API development, mapping onto his n8n agentic workflows and Node.js work. Their site is English-first so there is no language barrier at all.</t>
  </si>
  <si>
    <t xml:space="preserve">On LinkedIn search Workfloows for n8n Developer, Automation Engineer or Founder. Their homepage names Oskar (first name only, n8n Community Award winner) and Benji as contacts. Do not guess surnames.</t>
  </si>
  <si>
    <t xml:space="preserve">https://linkedin.com/company/workfloows</t>
  </si>
  <si>
    <t xml:space="preserve">contact@workfloows.com</t>
  </si>
  <si>
    <t xml:space="preserve">I built the scraping and parsing pipeline plus the n8n agents behind a booking platform that grew from 2,000 to 4,500+ users, and I take overflow delivery at EUR 200 a day.</t>
  </si>
  <si>
    <t xml:space="preserve">Small team so budgets are tight, and against a Polish cost base EUR 200 a day is competitive rather than a bargain. No careers page, so this is a direct founder approach.</t>
  </si>
  <si>
    <t xml:space="preserve">workfloows.com</t>
  </si>
  <si>
    <t xml:space="preserve">Zapfloor</t>
  </si>
  <si>
    <t xml:space="preserve">Workspace management software for coworking spaces, serviced offices and corporate workplaces, positioning as number one in Europe</t>
  </si>
  <si>
    <t xml:space="preserve">Antwerp, Belgium</t>
  </si>
  <si>
    <t xml:space="preserve">Zapfloor's homepage sells on connecting calendar, access control, accounting and HR systems. Integration breadth is their differentiator and it is the thing that quietly eats an engineering roadmap. He has built that class of work end to end: live Office RnD, Nexudus and Clubee integrations, REST and webhook plumbing, and n8n agentic workflows with retries and human-in-the-loop for when a sync fails rather than silently dropping a booking.</t>
  </si>
  <si>
    <t xml:space="preserve">Search at Zapfloor for Head of Product, Product Manager, Integrations, CTO or Customer Success Manager. No leadership names are published on zapfloor.com, so do not name anyone.</t>
  </si>
  <si>
    <t xml:space="preserve">https://www.linkedin.com/company/zapfloorhq</t>
  </si>
  <si>
    <t xml:space="preserve">not stated, contact form only</t>
  </si>
  <si>
    <t xml:space="preserve">Your homepage promises integrations with calendar, access control, accounting and HR. I have built and maintained exactly that layer for a live coworking product across Office RnD, Nexudus and Clubee, and I can take the long tail of connectors off your core team.</t>
  </si>
  <si>
    <t xml:space="preserve">Flemish and Dutch home market so internal roles may want Dutch, although the product is English. Post-seed size means one hire at a time. Confirm they will contract with an Italian Partita IVA.</t>
  </si>
  <si>
    <t xml:space="preserve">zapfloor.com, siliconcanals.com</t>
  </si>
  <si>
    <t xml:space="preserve">atlantis dx</t>
  </si>
  <si>
    <t xml:space="preserve">German digital agency and Make Certified Silver Partner offering consulting, implementation and ongoing development of workflow automation</t>
  </si>
  <si>
    <t xml:space="preserve">Hamburg and Munich, Germany</t>
  </si>
  <si>
    <t xml:space="preserve">Their Make page does not mention n8n at all, so he brings a platform they currently do not cover, backed by production work rather than demos: agentic n8n workflows with human-in-the-loop approvals and retry handling. He also writes Next.js, React and Laravel, which lets them say yes to the parts of a client brief Make cannot reach.</t>
  </si>
  <si>
    <t xml:space="preserve">Dario Waechter is published on their own site as Management and Partner, and is the named contact for Make services. On LinkedIn search atlantis dx for Automation Consultant or Solution Architect.</t>
  </si>
  <si>
    <t xml:space="preserve">https://www.linkedin.com/company/atlantisdx</t>
  </si>
  <si>
    <t xml:space="preserve">info@atlantisdx.de</t>
  </si>
  <si>
    <t xml:space="preserve">You sell Make but not n8n. I run production n8n agents with human approval and retry logic, and I can build the custom app when the no-code stack runs out, at EUR 200 a day.</t>
  </si>
  <si>
    <t xml:space="preserve">German agency, English site available but client delivery will be in German, so sell the build seat not the client-facing one. Silver rather than Gold partner, so deal volume may be modest.</t>
  </si>
  <si>
    <t xml:space="preserve">atlantisdx.de Make technology page</t>
  </si>
  <si>
    <t xml:space="preserve">Ace Workflow</t>
  </si>
  <si>
    <t xml:space="preserve">Operations automation agency building AI agents and workflow automation inside clients' existing tools including Airtable, Slack, HubSpot, Zapier, Make and n8n</t>
  </si>
  <si>
    <t xml:space="preserve">Distributed, offices listed as New York, Los Angeles, Portland, London, Lagos and Lisbon</t>
  </si>
  <si>
    <t xml:space="preserve">freelance client</t>
  </si>
  <si>
    <t xml:space="preserve">They publish operational case studies with hard numbers, so they sell outcomes not tool logos. His production n8n agents with human approval steps and retry handling, plus Airtable, Supabase and Postgres experience, covers their stack directly, and EUR 200 a day sits far under what their US offices bill.</t>
  </si>
  <si>
    <t xml:space="preserve">Careers at aceworkflow.io/company/careers and contact at aceworkflow.io/company/contact. On LinkedIn search Ace Workflow for Automation Engineer, Solutions Engineer or Delivery Lead.</t>
  </si>
  <si>
    <t xml:space="preserve">https://www.linkedin.com/company/ace-workflow</t>
  </si>
  <si>
    <t xml:space="preserve">I build the same outcome-led automations you publish case studies about, in n8n with human-in-the-loop and retries, from the EU at EUR 200 a day.</t>
  </si>
  <si>
    <t xml:space="preserve">Heavily US-facing with US time zones, so a European employed role is unlikely. Freelance only. Confirm they can contract with an Italian sole trader.</t>
  </si>
  <si>
    <t xml:space="preserve">aceworkflow.io</t>
  </si>
  <si>
    <t xml:space="preserve">Archie</t>
  </si>
  <si>
    <t xml:space="preserve">Coworking and hybrid-office management software, a direct competitor to OfficeRnD and Nexudus</t>
  </si>
  <si>
    <t xml:space="preserve">Canada</t>
  </si>
  <si>
    <t xml:space="preserve">Archie's growth depends on winning switchers off OfficeRnD and Nexudus and migrating their data cleanly. He has worked against both platforms from the marketplace side via live integrations, and executed a Bubble.io to Next.js and Laravel migration on a live product, so he can build migration tooling and connectors for incoming customers. That unglamorous work decides whether a switch closes.</t>
  </si>
  <si>
    <t xml:space="preserve">Search at Archie for Head of Product, Product Manager, Solutions Engineer, Head of Customer Success or Partnerships. No leadership verified on archieapp.co.</t>
  </si>
  <si>
    <t xml:space="preserve">https://www.linkedin.com/company/archieapp</t>
  </si>
  <si>
    <t xml:space="preserve">Every OfficeRnD or Nexudus customer you win has to get their member and billing data across. I have built live integrations with both from the outside and can turn that into repeatable migration tooling.</t>
  </si>
  <si>
    <t xml:space="preserve">North American HQ so no EU employment route and no sponsorship. Freelance only, invoiced from Italy. Timezone overlap limited to his afternoons.</t>
  </si>
  <si>
    <t xml:space="preserve">archieapp.co</t>
  </si>
  <si>
    <t xml:space="preserve">DecodifAI</t>
  </si>
  <si>
    <t xml:space="preserve">Netherlands-based studio building AI workflow automation, AI agents and team training, with n8n in its stated toolkit</t>
  </si>
  <si>
    <t xml:space="preserve">Netherlands</t>
  </si>
  <si>
    <t xml:space="preserve">A founder-led AI automation shop has to subcontract the moment two projects land at once, and it has nobody to hand the hard builds to. He brings production n8n agentic workflows with human-in-the-loop and retry logic rather than demo automations, plus Next.js and Laravel so nothing in a client brief has to be turned down.</t>
  </si>
  <si>
    <t xml:space="preserve">On LinkedIn search DecodifAI for Founder or AI Automation Consultant. Oscar Allington is published as Founder on the company website.</t>
  </si>
  <si>
    <t xml:space="preserve">https://www.linkedin.com/company/decodifai</t>
  </si>
  <si>
    <t xml:space="preserve">You are the bottleneck on your own delivery. I build production n8n agents with human approval and retry logic, and the app around them, at EUR 200 a day.</t>
  </si>
  <si>
    <t xml:space="preserve">Very small and possibly solo, so budgets are limited and this is overflow work at best. They target Dutch businesses, so client-facing Dutch may be expected. Their site content also surfaced under a second domain, so verify which brand is current.</t>
  </si>
  <si>
    <t xml:space="preserve">company homepage and a Netherlands agency directory</t>
  </si>
  <si>
    <t xml:space="preserve">Easy8</t>
  </si>
  <si>
    <t xml:space="preserve">n8n Expert Partner and Verified Creator building custom AI agents, complex n8n workflows and enterprise integration, specialising in Microsoft environments</t>
  </si>
  <si>
    <t xml:space="preserve">United Kingdom</t>
  </si>
  <si>
    <t xml:space="preserve">They posted publicly on the n8n community forum asking for n8n experts and collaborators, so the door is already open. Their Microsoft-environment specialism lines up exactly with his Copilot Studio and Power Automate certification, and his production n8n agents with human-in-the-loop and retries are the complex n8n workflows they sell.</t>
  </si>
  <si>
    <t xml:space="preserve">Reply on the open thread at community.n8n.io/t/easy8-is-looking-for-n8n-experts-collaborators/224117 where the post says to write in the comments. Also book via easy8.ai/contact.</t>
  </si>
  <si>
    <t xml:space="preserve">not stated, booking form only</t>
  </si>
  <si>
    <t xml:space="preserve">I saw your call for n8n collaborators. I build production n8n agents with human-in-the-loop and retry handling and I am Microsoft Copilot Studio and Power Automate certified, at EUR 200 a day.</t>
  </si>
  <si>
    <t xml:space="preserve">UK based so employment needs sponsorship. Freelance only. The collaborator post is dated November 2025, so confirm it is still live. Confirm they can pay an Italian sole trader.</t>
  </si>
  <si>
    <t xml:space="preserve">experts.n8n.io/partner/easy8 and n8n community thread 224117</t>
  </si>
  <si>
    <t xml:space="preserve">Goodspeed Studio</t>
  </si>
  <si>
    <t xml:space="preserve">No-code and AI product agency, Bubble Agency of the Year partner, that also does n8n development, web apps and SaaS builds</t>
  </si>
  <si>
    <t xml:space="preserve">London, UK</t>
  </si>
  <si>
    <t xml:space="preserve">The single strongest match on the agency list. They are a Bubble-first agency and their clients inevitably outgrow Bubble. He led exactly that exit: a Bubble.io to Next.js and Laravel migration on a live product. Add n8n development, which they also sell, and he covers both the migration and the automation layer, which almost none of their freelancers will.</t>
  </si>
  <si>
    <t xml:space="preserve">They run an open freelancer application at goodspeed.studio/apply, which beats a cold message. Harish Malhi is named as the contact on their own contact page.</t>
  </si>
  <si>
    <t xml:space="preserve">https://www.linkedin.com/company/goodspeed-studio/</t>
  </si>
  <si>
    <t xml:space="preserve">harish@goodspeed.studio, published on goodspeed.studio/contact</t>
  </si>
  <si>
    <t xml:space="preserve">I migrated a live Bubble.io product to Next.js and Laravel while it kept serving 4,500+ users, and I build the n8n automations that sit behind it, at EUR 200 a day.</t>
  </si>
  <si>
    <t xml:space="preserve">UK based so employment needs sponsorship. Freelance only. Confirm they can pay an Italian individual Partita IVA and do not require a limited company.</t>
  </si>
  <si>
    <t xml:space="preserve">goodspeed.studio/contact</t>
  </si>
  <si>
    <t xml:space="preserve">Huckletree</t>
  </si>
  <si>
    <t xml:space="preserve">UK and Ireland coworking operator with hubs in London, Manchester and Dublin, focused on tech and innovation members</t>
  </si>
  <si>
    <t xml:space="preserve">They are opening new London hubs while a subsidiary went into administration, so the group is under pressure to run more sites with the same overhead. He built AI support agents and member lifecycle automation for a live coworking platform plus lead capture and enrichment into the CRM, the two things that let an operator add locations without adding community and sales headcount per site.</t>
  </si>
  <si>
    <t xml:space="preserve">Search at Huckletree for Head of Operations, Head of Growth, Head of Marketing or Community Director. No individual verified for this purpose.</t>
  </si>
  <si>
    <t xml:space="preserve">https://www.linkedin.com/company/huckletree</t>
  </si>
  <si>
    <t xml:space="preserve">Opening new hubs without scaling headcount per site is an automation problem. I built the member lifecycle automation and AI support agent for a live coworking platform that did exactly that.</t>
  </si>
  <si>
    <t xml:space="preserve">UK employment needs sponsorship he does not have, and their Dublin site is in Ireland which opted out of the directive, so this is freelance-from-Italy only. Administrators were appointed at a subsidiary, so check group financial health and payment terms first.</t>
  </si>
  <si>
    <t xml:space="preserve">bisnow.com, coworkingeurope.net</t>
  </si>
  <si>
    <t xml:space="preserve">Leapforce</t>
  </si>
  <si>
    <t xml:space="preserve">HubSpot Diamond Solutions Partner for the Benelux, connecting marketing, sales and service systems</t>
  </si>
  <si>
    <t xml:space="preserve">speculative job</t>
  </si>
  <si>
    <t xml:space="preserve">HubSpot partners at Diamond tier constantly get pulled into custom integration work their marketing consultants cannot deliver. He built lead capture and enrichment into a CRM plus sales-funnel automation, and he can write the middleware in Node, Laravel or n8n over REST APIs and webhooks instead of stopping where HubSpot's native features stop.</t>
  </si>
  <si>
    <t xml:space="preserve">Careers page at leapforce.nl/werken-bij. On LinkedIn search Leapforce for Marketing Automation Specialist, HubSpot Consultant or Developer.</t>
  </si>
  <si>
    <t xml:space="preserve">https://nl.linkedin.com/company/leapforce-nl</t>
  </si>
  <si>
    <t xml:space="preserve">I build the custom integration layer HubSpot consultants hand off: CRM enrichment, webhook and REST plumbing, and n8n or Laravel middleware that keeps the funnel data clean.</t>
  </si>
  <si>
    <t xml:space="preserve">Weakest language fit on this list. Site and careers page are in Dutch and the market is Benelux, so this only works for a technical integration seat where English is enough. Confirm they run any English-language engineering roles before investing time.</t>
  </si>
  <si>
    <t xml:space="preserve">leapforce.nl</t>
  </si>
  <si>
    <t xml:space="preserve">Morning</t>
  </si>
  <si>
    <t xml:space="preserve">France's second-largest coworking operator, 50+ locations in the Paris region with a 20,000 sqm expansion planned for 2026</t>
  </si>
  <si>
    <t xml:space="preserve">Paris, France</t>
  </si>
  <si>
    <t xml:space="preserve">Fifty-plus sites with more coming is the scale at which member onboarding, room booking and support tickets must be systematised or they consume the operations team. He built the booking flow, member lifecycle automation and AI support agents on a live coworking product and connected it to Office RnD, Nexudus and Clubee, so he arrives knowing what the multi-site data model has to look like rather than discovering it on their budget.</t>
  </si>
  <si>
    <t xml:space="preserve">Search at Morning for Head of Product, CTO, Directeur Technique, Head of Operations or Product Manager. Confirm the correct company page via morning.fr first, the name is generic.</t>
  </si>
  <si>
    <t xml:space="preserve">verify via morning.fr, multiple unrelated LinkedIn pages share the name</t>
  </si>
  <si>
    <t xml:space="preserve">At 50+ Paris sites the booking and member lifecycle layer either scales or eats your ops team. I built and integrated exactly that on a live coworking platform running on Office RnD and Nexudus.</t>
  </si>
  <si>
    <t xml:space="preserve">Strongest language risk on the coworking list. French is near-certain for any internal role and probably for delivery too. Lower priority than the Italian and Spanish operators.</t>
  </si>
  <si>
    <t xml:space="preserve">coworkingeurope.net, morning.fr</t>
  </si>
  <si>
    <t xml:space="preserve">Netguru</t>
  </si>
  <si>
    <t xml:space="preserve">Polish product design and software development consultancy running an open freelance talent marketplace</t>
  </si>
  <si>
    <t xml:space="preserve">Their talent marketplace page states the basis of cooperation is a B2B contract, preferably sole proprietorship, registered by the freelancer. That is exactly his Italian individual Partita IVA, and it removes the limited-company blocker that kills most of these routes. They run AI engineer and senior Node.js full-stack gigs, and he covers AI automation plus Next.js, React, Node and TypeScript on one invoice.</t>
  </si>
  <si>
    <t xml:space="preserve">Apply directly at netguru.com/join-talent-marketplace. On LinkedIn search Netguru for Talent Acquisition Specialist, Talent Partner or AI Engineer.</t>
  </si>
  <si>
    <t xml:space="preserve">https://www.linkedin.com/company/netguru</t>
  </si>
  <si>
    <t xml:space="preserve">hello@netguru.com</t>
  </si>
  <si>
    <t xml:space="preserve">I am an Italian-registered sole trader available for B2B gigs at EUR 200 a day, covering AI and n8n automation plus Next.js, React and Node full-stack.</t>
  </si>
  <si>
    <t xml:space="preserve">A bench and marketplace model, closer to staffing than an agency partnership. Projects run around six months, paid monthly on invoice within 14 working days, so cash flow is slow. Several listings require German or Polish, so filter for English-only briefs.</t>
  </si>
  <si>
    <t xml:space="preserve">netguru.com/join-talent-marketplace</t>
  </si>
  <si>
    <t xml:space="preserve">Optix</t>
  </si>
  <si>
    <t xml:space="preserve">Coworking and flexible workspace management platform with a white-label member app, formerly SharedDesk</t>
  </si>
  <si>
    <t xml:space="preserve">Vancouver, Canada</t>
  </si>
  <si>
    <t xml:space="preserve">Optix sells a branded member app to operators, so the value sits in what the app automates rather than the booking screen. He built AI support agents on OpenAI and Anthropic APIs orchestrated through n8n with tool definitions, retries and human-in-the-loop, running against real coworking member data, plus the member lifecycle automation around it. That is a feature area an app company usually has to buy in.</t>
  </si>
  <si>
    <t xml:space="preserve">Search at Optix for Head of Product, Product Manager, Solutions Engineer or Head of Customer Success. Their LinkedIn page still carries the SharedDesk slug.</t>
  </si>
  <si>
    <t xml:space="preserve">https://www.linkedin.com/company/sharedesk</t>
  </si>
  <si>
    <t xml:space="preserve">I shipped AI support agents into a live coworking product with human-in-the-loop escalation, so members get answered without your operators adding front-desk headcount.</t>
  </si>
  <si>
    <t xml:space="preserve">Canada HQ, no EU employment route. Freelance only. Pacific timezone is a poor overlap with Italy. Confirm the LinkedIn page is current given the legacy slug.</t>
  </si>
  <si>
    <t xml:space="preserve">g2.com/products/optix</t>
  </si>
  <si>
    <t xml:space="preserve">Roboyo</t>
  </si>
  <si>
    <t xml:space="preserve">Hyperautomation and intelligent automation consultancy delivering RPA, AI implementation and business process automation for enterprise clients</t>
  </si>
  <si>
    <t xml:space="preserve">Germany, offices in 24 cities across 15 countries</t>
  </si>
  <si>
    <t xml:space="preserve">Their delivery model is consultants who implement automation inside client environments, and he has done that end to end at a product company: AI support agents, CRM lead capture and enrichment, outbound automation, a scraping pipeline and a live platform migration. His Copilot Studio and Power Automate certification maps directly onto their Microsoft automation practice.</t>
  </si>
  <si>
    <t xml:space="preserve">Careers at roboyo.global/careers plus their EU Greenhouse board at job-boards.eu.greenhouse.io/roboyo. On LinkedIn search Roboyo for Intelligent Automation Consultant, Automation Engineer or Talent Acquisition Specialist.</t>
  </si>
  <si>
    <t xml:space="preserve">https://www.linkedin.com/company/roboyo</t>
  </si>
  <si>
    <t xml:space="preserve">I am Copilot Studio and Power Automate certified and have run automation delivery end to end at a live product company, including AI support agents and a Bubble to Next.js and Laravel migration.</t>
  </si>
  <si>
    <t xml:space="preserve">Enterprise scale and enterprise rates, so they will not buy EUR 200 a day freelance work. Salaried route only. Consultant roles typically want more than 3 years, and their careers site runs in German, French and Spanish too, which signals local-language delivery. Target the English-language EU postings only.</t>
  </si>
  <si>
    <t xml:space="preserve">roboyo.global/careers</t>
  </si>
  <si>
    <t xml:space="preserve">Upflex</t>
  </si>
  <si>
    <t xml:space="preserve">Global on-demand workspace access platform for enterprises, which acquired UK-based WorkClub to grow its European network</t>
  </si>
  <si>
    <t xml:space="preserve">New York, USA, with European operations</t>
  </si>
  <si>
    <t xml:space="preserve">Upflex's product is a network of third-party spaces, so their permanent problem is onboarding new supply and keeping inventory and availability accurate. That is the FlowSpace problem, which he solved with a scraping and parsing pipeline plus direct Office RnD, Nexudus and Clubee integrations. Their European supply runs on precisely that European software stack, not the US one.</t>
  </si>
  <si>
    <t xml:space="preserve">Search at Upflex for Head of Supply, Supply Operations Manager, Partnerships Manager Europe or Integrations Engineer. Do not name an individual, nothing verified on their own site.</t>
  </si>
  <si>
    <t xml:space="preserve">https://www.linkedin.com/company/upflex</t>
  </si>
  <si>
    <t xml:space="preserve">Your European supply sits on Office RnD, Nexudus and Clubee. I have built and maintained live integrations with all three from the marketplace side, plus the scraping pipeline that kept listings current.</t>
  </si>
  <si>
    <t xml:space="preserve">US HQ and US-centric, so employment needs sponsorship he does not have. Freelance only. Their most-cited European news is a few years old, so verify current European headcount before investing time.</t>
  </si>
  <si>
    <t xml:space="preserve">press coverage of the WorkClub acquisition</t>
  </si>
  <si>
    <t xml:space="preserve">betahaus</t>
  </si>
  <si>
    <t xml:space="preserve">Independent German coworking brand in Berlin and Hamburg, which took over operations of Berlin's w3.hub in 2026</t>
  </si>
  <si>
    <t xml:space="preserve">Taking over another operator's space means merging two member bases, two billing setups and probably two management systems. He has done the messy version of that: integrating a live coworking product with Office RnD, Nexudus and Clubee, plus leading a Bubble.io to Next.js and Laravel migration on a product that could not go offline. Migration work with a hard cutover date is exactly what a small operator has no in-house capacity for.</t>
  </si>
  <si>
    <t xml:space="preserve">Search at betahaus for Community Manager, Head of Operations, Managing Director or Marketing Manager. No leadership names confirmed on betahaus.com.</t>
  </si>
  <si>
    <t xml:space="preserve">https://www.linkedin.com/company/betahaus/</t>
  </si>
  <si>
    <t xml:space="preserve">Absorbing w3.hub's members into betahaus means merging member records and billing across two systems. I have run that kind of live migration on a coworking platform, including a full Bubble to Next.js and Laravel rebuild with no downtime.</t>
  </si>
  <si>
    <t xml:space="preserve">German operating language and a small independent operator, so treat as a short scoped project not a retainer. Employment unlikely; the value is a reference logo in the German market.</t>
  </si>
  <si>
    <t xml:space="preserve">coworkingeurope.net, betahaus.com</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</si>
</sst>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b val="true"/>
      <sz val="14"/>
      <color rgb="FF1F3864"/>
      <name val="Arial"/>
      <family val="0"/>
      <charset val="1"/>
    </font>
    <font>
      <i val="true"/>
      <sz val="10"/>
      <color rgb="FF59595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FCE4E4"/>
      </patternFill>
    </fill>
    <fill>
      <patternFill patternType="solid">
        <fgColor rgb="FFFCE4E4"/>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general"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freelancer.com/projects/n8n/workflow-automation-with-40623345" TargetMode="External"/><Relationship Id="rId2" Type="http://schemas.openxmlformats.org/officeDocument/2006/relationships/hyperlink" Target="https://www.freelancer.com/projects/ai-hw-sw/developer-automated-workflow-fully" TargetMode="External"/><Relationship Id="rId3" Type="http://schemas.openxmlformats.org/officeDocument/2006/relationships/hyperlink" Target="https://www.freelancer.com/projects/n8n/marketing-automation-crm-setup-for" TargetMode="External"/><Relationship Id="rId4" Type="http://schemas.openxmlformats.org/officeDocument/2006/relationships/hyperlink" Target="https://apply.workable.com/digitalgenius/j/E03A435AC1" TargetMode="External"/><Relationship Id="rId5" Type="http://schemas.openxmlformats.org/officeDocument/2006/relationships/hyperlink" Target="https://jobs.ashbyhq.com/n8n/5afbde12-defb-457d-a21e-584347141436" TargetMode="External"/><Relationship Id="rId6" Type="http://schemas.openxmlformats.org/officeDocument/2006/relationships/hyperlink" Target="https://www.freelancer.com/projects/ai-hw-sw/powered-content-automation-distribution" TargetMode="External"/><Relationship Id="rId7" Type="http://schemas.openxmlformats.org/officeDocument/2006/relationships/hyperlink" Target="https://www.freelancer.com/projects/n8n/automation-expert-needed-for-lead-40626185" TargetMode="External"/><Relationship Id="rId8" Type="http://schemas.openxmlformats.org/officeDocument/2006/relationships/hyperlink" Target="https://euremotejobs.com/job/ai-automation-specialist-2/" TargetMode="External"/><Relationship Id="rId9" Type="http://schemas.openxmlformats.org/officeDocument/2006/relationships/hyperlink" Target="https://jobs.eu.lever.co/eneba/df5397c1-489f-4eb9-a771-3d64eb42c86e" TargetMode="External"/><Relationship Id="rId10" Type="http://schemas.openxmlformats.org/officeDocument/2006/relationships/hyperlink" Target="https://ascendingai.recruitee.com/o/full-stack-engineer-mid-level" TargetMode="External"/><Relationship Id="rId11" Type="http://schemas.openxmlformats.org/officeDocument/2006/relationships/hyperlink" Target="https://www.freelancer.com/projects/crm/meta-business-agents-setup-expert" TargetMode="External"/><Relationship Id="rId12" Type="http://schemas.openxmlformats.org/officeDocument/2006/relationships/hyperlink" Target="https://www.welcometothejungle.com/en/companies/stockly/jobs/no-code-ai-automation-engineer_paris" TargetMode="External"/><Relationship Id="rId13" Type="http://schemas.openxmlformats.org/officeDocument/2006/relationships/hyperlink" Target="https://himalayas.app/companies/dorado-software-group/jobs/marketing-ai-automation-specialist-7630585410" TargetMode="External"/><Relationship Id="rId14" Type="http://schemas.openxmlformats.org/officeDocument/2006/relationships/hyperlink" Target="https://himalayas.app/companies/dorado-software-group/jobs/marketing-ai-automation-specialist-5796186857" TargetMode="External"/><Relationship Id="rId15" Type="http://schemas.openxmlformats.org/officeDocument/2006/relationships/hyperlink" Target="https://himalayas.app/companies/spotter-labs/jobs/accounting-automation-engineer" TargetMode="External"/><Relationship Id="rId16" Type="http://schemas.openxmlformats.org/officeDocument/2006/relationships/hyperlink" Target="https://www.arbeitnow.com/jobs/companies/integral-de/gtm-engineer-berlin-311461" TargetMode="External"/><Relationship Id="rId17" Type="http://schemas.openxmlformats.org/officeDocument/2006/relationships/hyperlink" Target="https://jobs.ashbyhq.com/swans/c5c62cfc-8248-4295-8e00-36e3261025c4" TargetMode="External"/><Relationship Id="rId18" Type="http://schemas.openxmlformats.org/officeDocument/2006/relationships/hyperlink" Target="https://jobs.ashbyhq.com/10xteam/ba5dbf6c-98a9-4a38-be25-b1ec100e12bc" TargetMode="External"/><Relationship Id="rId19" Type="http://schemas.openxmlformats.org/officeDocument/2006/relationships/hyperlink" Target="https://jobs.smartrecruiters.com/BEUMERGroup1/744000128890468-m365-ai-automation-specialist-m-f-d-" TargetMode="External"/><Relationship Id="rId20" Type="http://schemas.openxmlformats.org/officeDocument/2006/relationships/hyperlink" Target="https://jobs.workable.com/view/6PL9yBjhge85dfDyAs1tZS/remote-full-stack-engineer---growth-%26-marketing-in-italy-at-treatwell" TargetMode="External"/><Relationship Id="rId21" Type="http://schemas.openxmlformats.org/officeDocument/2006/relationships/hyperlink" Target="https://lleverage.recruitee.com/o/ai-engineer-2" TargetMode="External"/><Relationship Id="rId22" Type="http://schemas.openxmlformats.org/officeDocument/2006/relationships/hyperlink" Target="https://wellfound.com/jobs/4079967-full-stack-engineer-next-js-supabase-ai-native-workflow" TargetMode="External"/><Relationship Id="rId23" Type="http://schemas.openxmlformats.org/officeDocument/2006/relationships/hyperlink" Target="https://job-boards.eu.greenhouse.io/super/jobs/4821514101" TargetMode="External"/><Relationship Id="rId24" Type="http://schemas.openxmlformats.org/officeDocument/2006/relationships/hyperlink" Target="https://himalayas.app/companies/tripleten/jobs/crm-systems-automation-manager-9409947081" TargetMode="External"/><Relationship Id="rId25" Type="http://schemas.openxmlformats.org/officeDocument/2006/relationships/hyperlink" Target="https://himalayas.app/companies/tripleten/jobs/crm-systems-automation-manager-5814909795" TargetMode="External"/><Relationship Id="rId26" Type="http://schemas.openxmlformats.org/officeDocument/2006/relationships/hyperlink" Target="https://www.freelancer.com/projects/ai-integration/claude-integration-for-recruitment" TargetMode="External"/><Relationship Id="rId27" Type="http://schemas.openxmlformats.org/officeDocument/2006/relationships/hyperlink" Target="https://community.n8n.io/t/hiring-ai-automation-engineer-n8n-ai-agent-developer/294904" TargetMode="External"/><Relationship Id="rId28" Type="http://schemas.openxmlformats.org/officeDocument/2006/relationships/hyperlink" Target="https://himalayas.app/companies/alguna/jobs/product-engineer" TargetMode="External"/><Relationship Id="rId29" Type="http://schemas.openxmlformats.org/officeDocument/2006/relationships/hyperlink" Target="https://jobs.smartrecruiters.com/BEUMERGroup1/744000118435467-digital-workplace-ai-automation-specialist-m-w-d-" TargetMode="External"/><Relationship Id="rId30" Type="http://schemas.openxmlformats.org/officeDocument/2006/relationships/hyperlink" Target="https://startup.jobs/software-engineer-octocom-ltd-8787185" TargetMode="External"/><Relationship Id="rId31" Type="http://schemas.openxmlformats.org/officeDocument/2006/relationships/hyperlink" Target="https://community.clay.com/x/full-time-jobs/9is5k0h0y5pt/hiring-gtm-engineer-at-growth-today-for-remote-eu" TargetMode="External"/><Relationship Id="rId32" Type="http://schemas.openxmlformats.org/officeDocument/2006/relationships/hyperlink" Target="https://himalayas.app/companies/talent-sam/jobs/full-stack-developer" TargetMode="External"/><Relationship Id="rId33" Type="http://schemas.openxmlformats.org/officeDocument/2006/relationships/hyperlink" Target="https://berlinstartupjobs.com/engineering/product-engineer-m-f-d-stackgini-gmbh/" TargetMode="External"/><Relationship Id="rId34" Type="http://schemas.openxmlformats.org/officeDocument/2006/relationships/hyperlink" Target="https://jobs.workable.com/view/k6iUWx4gVmgMJko3nWuvCY/remote-ai-automations-product-engineer-in-amsterdam-at-ninetwothree-ai-studio" TargetMode="External"/><Relationship Id="rId35" Type="http://schemas.openxmlformats.org/officeDocument/2006/relationships/hyperlink" Target="https://euremotejobs.com/job/full-stack-developer-node-js-react-5/" TargetMode="External"/><Relationship Id="rId36" Type="http://schemas.openxmlformats.org/officeDocument/2006/relationships/hyperlink" Target="https://himalayas.app/companies/wing-assistant/jobs/gtm-automation-engineer-outbound-marketing-2168134274" TargetMode="External"/><Relationship Id="rId37" Type="http://schemas.openxmlformats.org/officeDocument/2006/relationships/hyperlink" Target="https://himalayas.app/companies/find-co/jobs/crm-data-operations-analyst" TargetMode="External"/><Relationship Id="rId38" Type="http://schemas.openxmlformats.org/officeDocument/2006/relationships/hyperlink" Target="https://himalayas.app/companies/kodify-media-group/jobs/full-stack-developer" TargetMode="External"/><Relationship Id="rId39" Type="http://schemas.openxmlformats.org/officeDocument/2006/relationships/hyperlink" Target="https://himalayas.app/companies/it-s-prodigy/jobs/full-stack-developer" TargetMode="External"/><Relationship Id="rId40" Type="http://schemas.openxmlformats.org/officeDocument/2006/relationships/hyperlink" Target="https://himalayas.app/companies/wing-assistant/jobs/gtm-automation-engineer-outbound-marketing-3436928092" TargetMode="External"/><Relationship Id="rId41" Type="http://schemas.openxmlformats.org/officeDocument/2006/relationships/hyperlink" Target="https://jobs.ashbyhq.com/sanity/7bb0c4d3-10e9-4e97-91a0-cfd1d0fc980a" TargetMode="External"/><Relationship Id="rId42" Type="http://schemas.openxmlformats.org/officeDocument/2006/relationships/hyperlink" Target="https://weworkremotely.com/remote-jobs/stellar-ai-senior-software-engineer" TargetMode="External"/><Relationship Id="rId43" Type="http://schemas.openxmlformats.org/officeDocument/2006/relationships/hyperlink" Target="https://lleverage.recruitee.com/o/lleverage-tem-4" TargetMode="External"/><Relationship Id="rId44" Type="http://schemas.openxmlformats.org/officeDocument/2006/relationships/hyperlink" Target="https://it.indeed.com/viewjob?jk=207dec180923643c" TargetMode="External"/><Relationship Id="rId45" Type="http://schemas.openxmlformats.org/officeDocument/2006/relationships/hyperlink" Target="https://it.indeed.com/viewjob?jk=f6b0bd5b9d306e34" TargetMode="External"/><Relationship Id="rId46" Type="http://schemas.openxmlformats.org/officeDocument/2006/relationships/hyperlink" Target="https://it.indeed.com/viewjob?jk=b267bab964b6de1c" TargetMode="External"/><Relationship Id="rId47" Type="http://schemas.openxmlformats.org/officeDocument/2006/relationships/hyperlink" Target="https://euremotejobs.com/job/embedded-ai-engineer-ir-540/" TargetMode="External"/><Relationship Id="rId48" Type="http://schemas.openxmlformats.org/officeDocument/2006/relationships/hyperlink" Target="https://himalayas.app/companies/wanstor/jobs/automation-developer-power-platform-copilot-studio" TargetMode="External"/><Relationship Id="rId49" Type="http://schemas.openxmlformats.org/officeDocument/2006/relationships/hyperlink" Target="https://euremotejobs.com/job/staff-it-engineer-for-automation-ai-transformation-remote/" TargetMode="External"/><Relationship Id="rId50" Type="http://schemas.openxmlformats.org/officeDocument/2006/relationships/hyperlink" Target="https://himalayas.app/companies/gorin-systems/jobs/full-stack-laravel-react-developer-9044192559" TargetMode="External"/><Relationship Id="rId51" Type="http://schemas.openxmlformats.org/officeDocument/2006/relationships/hyperlink" Target="https://himalayas.app/companies/autopilot-is/jobs/product-engineer" TargetMode="External"/><Relationship Id="rId52" Type="http://schemas.openxmlformats.org/officeDocument/2006/relationships/hyperlink" Target="https://himalayas.app/companies/full-circle/jobs/full-stack-developer-ai-first-2901065681" TargetMode="External"/><Relationship Id="rId53" Type="http://schemas.openxmlformats.org/officeDocument/2006/relationships/hyperlink" Target="https://join.com/companies/oryn-groupcom/16512536-gtm-engineer-founding-partner-m-f-x" TargetMode="External"/><Relationship Id="rId54" Type="http://schemas.openxmlformats.org/officeDocument/2006/relationships/hyperlink" Target="https://chrono24.jobs.personio.de/job/2717899?language=en" TargetMode="External"/><Relationship Id="rId55" Type="http://schemas.openxmlformats.org/officeDocument/2006/relationships/hyperlink" Target="https://apply.workable.com/freedomfinanceeu/j/348556E7E4" TargetMode="External"/><Relationship Id="rId56" Type="http://schemas.openxmlformats.org/officeDocument/2006/relationships/hyperlink" Target="https://himalayas.app/companies/lippe-personal-gmbh/jobs/automation-tech-specialist-m-w-d" TargetMode="External"/><Relationship Id="rId57" Type="http://schemas.openxmlformats.org/officeDocument/2006/relationships/hyperlink" Target="https://www.ycombinator.com/companies/cogram/jobs/LDTrViN-ex-technical-founder-product-engineer" TargetMode="External"/><Relationship Id="rId58" Type="http://schemas.openxmlformats.org/officeDocument/2006/relationships/hyperlink" Target="https://himalayas.app/companies/oneimaging/jobs/full-stack-software-engineer-typescript-react" TargetMode="External"/><Relationship Id="rId59" Type="http://schemas.openxmlformats.org/officeDocument/2006/relationships/hyperlink" Target="https://tiugotech.recruitee.com/o/technical-product-manager-ai-services-team" TargetMode="External"/><Relationship Id="rId60" Type="http://schemas.openxmlformats.org/officeDocument/2006/relationships/hyperlink" Target="https://sanalabs.com/careers/solutions-engineer" TargetMode="External"/><Relationship Id="rId61" Type="http://schemas.openxmlformats.org/officeDocument/2006/relationships/hyperlink" Target="https://startup.jobs/junior-ai-engineer-1-year-temp-entrust-8905447" TargetMode="External"/><Relationship Id="rId62" Type="http://schemas.openxmlformats.org/officeDocument/2006/relationships/hyperlink" Target="https://himalayas.app/companies/kultremedia-llc/jobs/km-automation-specialist-make-com-notion-ad-operations" TargetMode="External"/><Relationship Id="rId63" Type="http://schemas.openxmlformats.org/officeDocument/2006/relationships/hyperlink" Target="https://himalayas.app/companies/saas-group/jobs/ai-operator" TargetMode="External"/><Relationship Id="rId64" Type="http://schemas.openxmlformats.org/officeDocument/2006/relationships/hyperlink" Target="https://apply.workable.com/laravel/j/E2EEEA7303" TargetMode="External"/><Relationship Id="rId65" Type="http://schemas.openxmlformats.org/officeDocument/2006/relationships/hyperlink" Target="https://himalayas.app/companies/sophie-camp/jobs/freelancer-gtm-engineer-ai-automation-specialist-n8n-clay" TargetMode="External"/><Relationship Id="rId66" Type="http://schemas.openxmlformats.org/officeDocument/2006/relationships/hyperlink" Target="https://weworkremotely.com/remote-jobs/qase-technical-customer-support-specialist" TargetMode="External"/><Relationship Id="rId67" Type="http://schemas.openxmlformats.org/officeDocument/2006/relationships/hyperlink" Target="https://himalayas.app/companies/huzzle/jobs/gtm-engineer-ai-systems" TargetMode="External"/><Relationship Id="rId68" Type="http://schemas.openxmlformats.org/officeDocument/2006/relationships/hyperlink" Target="https://himalayas.app/companies/zencargo/jobs/forward-deployed-engineer-9064118696" TargetMode="External"/><Relationship Id="rId69" Type="http://schemas.openxmlformats.org/officeDocument/2006/relationships/hyperlink" Target="https://www.welcometothejungle.com/en/companies/leadtech/jobs/ai-developer-full-stack_es_hup3tkve" TargetMode="External"/><Relationship Id="rId70" Type="http://schemas.openxmlformats.org/officeDocument/2006/relationships/hyperlink" Target="https://www.freelancer.com/projects/data-extraction/versatile-web-scraper-needed" TargetMode="External"/><Relationship Id="rId71" Type="http://schemas.openxmlformats.org/officeDocument/2006/relationships/hyperlink" Target="https://himalayas.app/companies/paires/jobs/gtm-engineer" TargetMode="External"/><Relationship Id="rId72" Type="http://schemas.openxmlformats.org/officeDocument/2006/relationships/hyperlink" Target="https://startup.jobs/specialist-solution-engineer-salesforce-8912021" TargetMode="External"/><Relationship Id="rId73" Type="http://schemas.openxmlformats.org/officeDocument/2006/relationships/hyperlink" Target="https://deeploi.jobs.personio.de/job/2717159" TargetMode="External"/><Relationship Id="rId74" Type="http://schemas.openxmlformats.org/officeDocument/2006/relationships/hyperlink" Target="https://makersitegmbh.recruitee.com/o/technical-support-engineer-mfx" TargetMode="External"/><Relationship Id="rId75" Type="http://schemas.openxmlformats.org/officeDocument/2006/relationships/hyperlink" Target="https://euremotejobs.com/job/backend-developer-remote/" TargetMode="External"/><Relationship Id="rId76" Type="http://schemas.openxmlformats.org/officeDocument/2006/relationships/hyperlink" Target="https://berlinstartupjobs.com/engineering/senior-product-engineer-kombo/" TargetMode="External"/><Relationship Id="rId77" Type="http://schemas.openxmlformats.org/officeDocument/2006/relationships/hyperlink" Target="https://builtin.com/job/software-engineer-frontend/7834165" TargetMode="External"/><Relationship Id="rId78" Type="http://schemas.openxmlformats.org/officeDocument/2006/relationships/hyperlink" Target="https://join.com/companies/getaveryai/16375814-founding-engineer-core" TargetMode="External"/><Relationship Id="rId79" Type="http://schemas.openxmlformats.org/officeDocument/2006/relationships/hyperlink" Target="https://jobs.ashbyhq.com/vibiz/e4d28e9f-6833-418c-bb91-d96f6f0cedca" TargetMode="External"/><Relationship Id="rId80" Type="http://schemas.openxmlformats.org/officeDocument/2006/relationships/hyperlink" Target="https://jobs.ashbyhq.com/bjakcareer/3ead2626-c0ad-4fd4-96c1-1e4221c7ee81" TargetMode="External"/><Relationship Id="rId81" Type="http://schemas.openxmlformats.org/officeDocument/2006/relationships/hyperlink" Target="https://community.clay.com/x/full-time-jobs/dr9ev9pdah79/hiring-gtm-engineer-part-timefull-time-for-long-te" TargetMode="External"/><Relationship Id="rId82" Type="http://schemas.openxmlformats.org/officeDocument/2006/relationships/hyperlink" Target="https://jobs.ashbyhq.com/neara/12c88319-6f1e-48e1-acad-fc4c1017b1cd" TargetMode="External"/><Relationship Id="rId83" Type="http://schemas.openxmlformats.org/officeDocument/2006/relationships/hyperlink" Target="https://builtin.com/job/software-engineer/7834176" TargetMode="External"/><Relationship Id="rId84" Type="http://schemas.openxmlformats.org/officeDocument/2006/relationships/hyperlink" Target="https://builtin.com/job/ai-engineer-full-stack/8308933" TargetMode="External"/><Relationship Id="rId85" Type="http://schemas.openxmlformats.org/officeDocument/2006/relationships/hyperlink" Target="https://weworkremotely.com/remote-jobs/toptal-senior-full-stack-ai-engineer" TargetMode="External"/><Relationship Id="rId86" Type="http://schemas.openxmlformats.org/officeDocument/2006/relationships/hyperlink" Target="https://it.indeed.com/viewjob?jk=67cafa8f40dbd2fc" TargetMode="External"/><Relationship Id="rId87" Type="http://schemas.openxmlformats.org/officeDocument/2006/relationships/hyperlink" Target="https://axmed.teamtailor.com/jobs/8175859-ai-engineer" TargetMode="External"/><Relationship Id="rId88" Type="http://schemas.openxmlformats.org/officeDocument/2006/relationships/hyperlink" Target="https://jobs.ashbyhq.com/outset/ef882074-b4bd-4e7e-b0ab-325e3c5c6a93" TargetMode="External"/><Relationship Id="rId89" Type="http://schemas.openxmlformats.org/officeDocument/2006/relationships/hyperlink" Target="https://jobs.workable.com/view/cB3gEgQkRU86js7TdJ98fJ/remote-llm-engineer---freelancer-in-warsaw-at-monterail" TargetMode="External"/><Relationship Id="rId90" Type="http://schemas.openxmlformats.org/officeDocument/2006/relationships/hyperlink" Target="https://jobs.ashbyhq.com/tandem-health/583fef4f-4417-40d9-a87e-e405180f71ce" TargetMode="External"/><Relationship Id="rId91" Type="http://schemas.openxmlformats.org/officeDocument/2006/relationships/hyperlink" Target="https://job-boards.greenhouse.io/alignerr/jobs/4714343007" TargetMode="External"/><Relationship Id="rId9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linkedin.com/jobs/view/4416294264/" TargetMode="External"/><Relationship Id="rId2" Type="http://schemas.openxmlformats.org/officeDocument/2006/relationships/hyperlink" Target="https://www.linkedin.com/jobs/view/4445848675/" TargetMode="External"/><Relationship Id="rId3" Type="http://schemas.openxmlformats.org/officeDocument/2006/relationships/hyperlink" Target="https://www.linkedin.com/jobs/view/4440116826/" TargetMode="External"/><Relationship Id="rId4" Type="http://schemas.openxmlformats.org/officeDocument/2006/relationships/hyperlink" Target="https://www.linkedin.com/jobs/view/4416402281/" TargetMode="External"/><Relationship Id="rId5" Type="http://schemas.openxmlformats.org/officeDocument/2006/relationships/hyperlink" Target="https://www.linkedin.com/jobs/view/4447533037/" TargetMode="External"/><Relationship Id="rId6" Type="http://schemas.openxmlformats.org/officeDocument/2006/relationships/hyperlink" Target="https://www.linkedin.com/jobs/view/4447529645/" TargetMode="External"/><Relationship Id="rId7" Type="http://schemas.openxmlformats.org/officeDocument/2006/relationships/hyperlink" Target="https://www.linkedin.com/jobs/view/4416885598/" TargetMode="External"/><Relationship Id="rId8" Type="http://schemas.openxmlformats.org/officeDocument/2006/relationships/hyperlink" Target="https://www.linkedin.com/jobs/view/4428825661/" TargetMode="External"/><Relationship Id="rId9" Type="http://schemas.openxmlformats.org/officeDocument/2006/relationships/hyperlink" Target="https://www.linkedin.com/jobs/view/4443816208/" TargetMode="External"/><Relationship Id="rId10" Type="http://schemas.openxmlformats.org/officeDocument/2006/relationships/hyperlink" Target="https://www.linkedin.com/jobs/view/4447996831/" TargetMode="External"/><Relationship Id="rId11" Type="http://schemas.openxmlformats.org/officeDocument/2006/relationships/hyperlink" Target="https://www.linkedin.com/jobs/view/4440157888/" TargetMode="External"/><Relationship Id="rId12" Type="http://schemas.openxmlformats.org/officeDocument/2006/relationships/hyperlink" Target="https://www.linkedin.com/jobs/view/4439151703/" TargetMode="External"/><Relationship Id="rId13" Type="http://schemas.openxmlformats.org/officeDocument/2006/relationships/hyperlink" Target="https://www.linkedin.com/jobs/view/4446249585/" TargetMode="External"/><Relationship Id="rId14" Type="http://schemas.openxmlformats.org/officeDocument/2006/relationships/hyperlink" Target="https://www.linkedin.com/jobs/view/4448096852/" TargetMode="External"/><Relationship Id="rId15" Type="http://schemas.openxmlformats.org/officeDocument/2006/relationships/hyperlink" Target="https://www.linkedin.com/jobs/view/4439731054/" TargetMode="External"/><Relationship Id="rId16" Type="http://schemas.openxmlformats.org/officeDocument/2006/relationships/hyperlink" Target="https://www.linkedin.com/jobs/view/4449477191/" TargetMode="External"/><Relationship Id="rId17" Type="http://schemas.openxmlformats.org/officeDocument/2006/relationships/hyperlink" Target="https://www.linkedin.com/jobs/view/4447987900/" TargetMode="External"/><Relationship Id="rId18" Type="http://schemas.openxmlformats.org/officeDocument/2006/relationships/hyperlink" Target="https://www.linkedin.com/jobs/view/4448633098/" TargetMode="External"/><Relationship Id="rId19" Type="http://schemas.openxmlformats.org/officeDocument/2006/relationships/hyperlink" Target="https://www.linkedin.com/jobs/view/4445535821/" TargetMode="External"/><Relationship Id="rId20" Type="http://schemas.openxmlformats.org/officeDocument/2006/relationships/hyperlink" Target="https://www.linkedin.com/jobs/view/4431403123/" TargetMode="External"/><Relationship Id="rId21" Type="http://schemas.openxmlformats.org/officeDocument/2006/relationships/hyperlink" Target="https://www.linkedin.com/jobs/view/4445030623/" TargetMode="External"/><Relationship Id="rId22" Type="http://schemas.openxmlformats.org/officeDocument/2006/relationships/hyperlink" Target="https://www.linkedin.com/jobs/view/4440855987/" TargetMode="External"/><Relationship Id="rId23" Type="http://schemas.openxmlformats.org/officeDocument/2006/relationships/hyperlink" Target="https://www.linkedin.com/jobs/view/4446253180/" TargetMode="External"/><Relationship Id="rId24" Type="http://schemas.openxmlformats.org/officeDocument/2006/relationships/hyperlink" Target="https://www.linkedin.com/jobs/view/4447125262/" TargetMode="External"/><Relationship Id="rId25" Type="http://schemas.openxmlformats.org/officeDocument/2006/relationships/hyperlink" Target="https://www.linkedin.com/jobs/view/4441023666/" TargetMode="External"/><Relationship Id="rId26" Type="http://schemas.openxmlformats.org/officeDocument/2006/relationships/hyperlink" Target="https://www.linkedin.com/jobs/view/4448984192/" TargetMode="External"/><Relationship Id="rId27" Type="http://schemas.openxmlformats.org/officeDocument/2006/relationships/hyperlink" Target="https://www.linkedin.com/jobs/view/4437411822/" TargetMode="External"/><Relationship Id="rId28" Type="http://schemas.openxmlformats.org/officeDocument/2006/relationships/hyperlink" Target="https://www.linkedin.com/jobs/view/4447197994/" TargetMode="External"/><Relationship Id="rId29" Type="http://schemas.openxmlformats.org/officeDocument/2006/relationships/hyperlink" Target="https://www.linkedin.com/jobs/view/4436225454/" TargetMode="External"/><Relationship Id="rId30" Type="http://schemas.openxmlformats.org/officeDocument/2006/relationships/hyperlink" Target="https://www.linkedin.com/jobs/view/4447317507/" TargetMode="External"/><Relationship Id="rId31" Type="http://schemas.openxmlformats.org/officeDocument/2006/relationships/hyperlink" Target="https://www.linkedin.com/jobs/view/4445586742/" TargetMode="External"/><Relationship Id="rId32" Type="http://schemas.openxmlformats.org/officeDocument/2006/relationships/hyperlink" Target="https://www.linkedin.com/jobs/view/4429696197/" TargetMode="External"/><Relationship Id="rId33" Type="http://schemas.openxmlformats.org/officeDocument/2006/relationships/hyperlink" Target="https://www.linkedin.com/jobs/view/4445518098/" TargetMode="External"/><Relationship Id="rId34" Type="http://schemas.openxmlformats.org/officeDocument/2006/relationships/hyperlink" Target="https://www.linkedin.com/jobs/view/4447377627/" TargetMode="External"/><Relationship Id="rId35" Type="http://schemas.openxmlformats.org/officeDocument/2006/relationships/hyperlink" Target="https://www.linkedin.com/jobs/view/4447361781/" TargetMode="External"/><Relationship Id="rId36" Type="http://schemas.openxmlformats.org/officeDocument/2006/relationships/hyperlink" Target="https://www.linkedin.com/jobs/view/4448582882/" TargetMode="External"/><Relationship Id="rId37" Type="http://schemas.openxmlformats.org/officeDocument/2006/relationships/hyperlink" Target="https://www.linkedin.com/jobs/view/4447989368/" TargetMode="External"/><Relationship Id="rId38" Type="http://schemas.openxmlformats.org/officeDocument/2006/relationships/hyperlink" Target="https://www.linkedin.com/jobs/view/4446223655/" TargetMode="External"/><Relationship Id="rId39" Type="http://schemas.openxmlformats.org/officeDocument/2006/relationships/hyperlink" Target="https://www.linkedin.com/jobs/view/4447334123/" TargetMode="External"/><Relationship Id="rId40" Type="http://schemas.openxmlformats.org/officeDocument/2006/relationships/hyperlink" Target="https://www.linkedin.com/jobs/view/4447219331/" TargetMode="External"/><Relationship Id="rId41" Type="http://schemas.openxmlformats.org/officeDocument/2006/relationships/hyperlink" Target="https://www.linkedin.com/jobs/view/4450238978/" TargetMode="External"/><Relationship Id="rId42" Type="http://schemas.openxmlformats.org/officeDocument/2006/relationships/hyperlink" Target="https://www.linkedin.com/jobs/view/4438594658/" TargetMode="External"/><Relationship Id="rId43" Type="http://schemas.openxmlformats.org/officeDocument/2006/relationships/hyperlink" Target="https://www.linkedin.com/jobs/view/4431221667/" TargetMode="External"/><Relationship Id="rId44" Type="http://schemas.openxmlformats.org/officeDocument/2006/relationships/hyperlink" Target="https://www.linkedin.com/jobs/view/4437819726/" TargetMode="External"/><Relationship Id="rId45" Type="http://schemas.openxmlformats.org/officeDocument/2006/relationships/hyperlink" Target="https://www.linkedin.com/jobs/view/4442864790/" TargetMode="External"/><Relationship Id="rId46" Type="http://schemas.openxmlformats.org/officeDocument/2006/relationships/hyperlink" Target="https://www.linkedin.com/jobs/view/4445925920/" TargetMode="External"/><Relationship Id="rId47" Type="http://schemas.openxmlformats.org/officeDocument/2006/relationships/hyperlink" Target="https://www.linkedin.com/jobs/view/4444437033/" TargetMode="External"/><Relationship Id="rId48" Type="http://schemas.openxmlformats.org/officeDocument/2006/relationships/hyperlink" Target="https://www.linkedin.com/jobs/view/4439027450/" TargetMode="External"/><Relationship Id="rId49" Type="http://schemas.openxmlformats.org/officeDocument/2006/relationships/hyperlink" Target="https://www.linkedin.com/jobs/view/4446033941/" TargetMode="External"/><Relationship Id="rId50" Type="http://schemas.openxmlformats.org/officeDocument/2006/relationships/hyperlink" Target="https://www.linkedin.com/jobs/view/4441822374/" TargetMode="External"/><Relationship Id="rId51" Type="http://schemas.openxmlformats.org/officeDocument/2006/relationships/hyperlink" Target="https://www.linkedin.com/jobs/view/4445374311/" TargetMode="External"/><Relationship Id="rId52" Type="http://schemas.openxmlformats.org/officeDocument/2006/relationships/hyperlink" Target="https://www.linkedin.com/jobs/view/4444963461/" TargetMode="External"/><Relationship Id="rId53" Type="http://schemas.openxmlformats.org/officeDocument/2006/relationships/hyperlink" Target="https://www.linkedin.com/jobs/view/4448896595/" TargetMode="External"/><Relationship Id="rId54" Type="http://schemas.openxmlformats.org/officeDocument/2006/relationships/hyperlink" Target="https://www.linkedin.com/jobs/view/4444541367/" TargetMode="External"/><Relationship Id="rId55" Type="http://schemas.openxmlformats.org/officeDocument/2006/relationships/hyperlink" Target="https://www.linkedin.com/jobs/view/4449461841/" TargetMode="External"/><Relationship Id="rId56" Type="http://schemas.openxmlformats.org/officeDocument/2006/relationships/hyperlink" Target="https://www.linkedin.com/jobs/view/4442629022/" TargetMode="External"/><Relationship Id="rId57" Type="http://schemas.openxmlformats.org/officeDocument/2006/relationships/hyperlink" Target="https://www.linkedin.com/jobs/view/4445909297/" TargetMode="External"/><Relationship Id="rId58" Type="http://schemas.openxmlformats.org/officeDocument/2006/relationships/hyperlink" Target="https://www.linkedin.com/jobs/view/4431938372/" TargetMode="External"/><Relationship Id="rId59" Type="http://schemas.openxmlformats.org/officeDocument/2006/relationships/hyperlink" Target="https://www.linkedin.com/jobs/view/4437995961/" TargetMode="External"/><Relationship Id="rId60" Type="http://schemas.openxmlformats.org/officeDocument/2006/relationships/hyperlink" Target="https://www.linkedin.com/jobs/view/4447574100/" TargetMode="External"/><Relationship Id="rId61" Type="http://schemas.openxmlformats.org/officeDocument/2006/relationships/hyperlink" Target="https://www.linkedin.com/jobs/view/4446353743/" TargetMode="External"/><Relationship Id="rId62" Type="http://schemas.openxmlformats.org/officeDocument/2006/relationships/hyperlink" Target="https://www.linkedin.com/jobs/view/4440161748/" TargetMode="External"/><Relationship Id="rId63" Type="http://schemas.openxmlformats.org/officeDocument/2006/relationships/hyperlink" Target="https://www.linkedin.com/jobs/view/4435906115/" TargetMode="External"/><Relationship Id="rId64" Type="http://schemas.openxmlformats.org/officeDocument/2006/relationships/hyperlink" Target="https://www.linkedin.com/jobs/view/4440970395/" TargetMode="External"/><Relationship Id="rId65" Type="http://schemas.openxmlformats.org/officeDocument/2006/relationships/hyperlink" Target="https://www.linkedin.com/jobs/view/4446928967/" TargetMode="External"/><Relationship Id="rId66" Type="http://schemas.openxmlformats.org/officeDocument/2006/relationships/hyperlink" Target="https://www.linkedin.com/jobs/view/4448047301/" TargetMode="External"/><Relationship Id="rId67" Type="http://schemas.openxmlformats.org/officeDocument/2006/relationships/hyperlink" Target="https://www.linkedin.com/jobs/view/4447977775/" TargetMode="External"/><Relationship Id="rId68" Type="http://schemas.openxmlformats.org/officeDocument/2006/relationships/hyperlink" Target="https://www.linkedin.com/jobs/view/4449635371/" TargetMode="External"/><Relationship Id="rId69" Type="http://schemas.openxmlformats.org/officeDocument/2006/relationships/hyperlink" Target="https://www.linkedin.com/jobs/view/4447996582/" TargetMode="External"/><Relationship Id="rId70" Type="http://schemas.openxmlformats.org/officeDocument/2006/relationships/hyperlink" Target="https://www.linkedin.com/jobs/view/4448883625/" TargetMode="External"/><Relationship Id="rId71" Type="http://schemas.openxmlformats.org/officeDocument/2006/relationships/hyperlink" Target="https://www.linkedin.com/jobs/view/4443284894/" TargetMode="External"/><Relationship Id="rId72" Type="http://schemas.openxmlformats.org/officeDocument/2006/relationships/hyperlink" Target="https://www.linkedin.com/jobs/view/4446991563/" TargetMode="External"/><Relationship Id="rId73" Type="http://schemas.openxmlformats.org/officeDocument/2006/relationships/hyperlink" Target="https://www.linkedin.com/jobs/view/4445097573/" TargetMode="External"/><Relationship Id="rId74" Type="http://schemas.openxmlformats.org/officeDocument/2006/relationships/hyperlink" Target="https://www.linkedin.com/jobs/view/4445643134/" TargetMode="External"/><Relationship Id="rId75" Type="http://schemas.openxmlformats.org/officeDocument/2006/relationships/hyperlink" Target="https://www.linkedin.com/jobs/view/4432839113/" TargetMode="External"/><Relationship Id="rId76" Type="http://schemas.openxmlformats.org/officeDocument/2006/relationships/hyperlink" Target="https://www.linkedin.com/jobs/view/4448398622/" TargetMode="External"/><Relationship Id="rId77" Type="http://schemas.openxmlformats.org/officeDocument/2006/relationships/hyperlink" Target="https://www.linkedin.com/jobs/view/4399694891/" TargetMode="External"/><Relationship Id="rId78" Type="http://schemas.openxmlformats.org/officeDocument/2006/relationships/hyperlink" Target="https://www.linkedin.com/jobs/view/4433111445/" TargetMode="External"/><Relationship Id="rId79" Type="http://schemas.openxmlformats.org/officeDocument/2006/relationships/hyperlink" Target="https://www.linkedin.com/jobs/view/4450214033/" TargetMode="External"/><Relationship Id="rId80" Type="http://schemas.openxmlformats.org/officeDocument/2006/relationships/hyperlink" Target="https://www.linkedin.com/jobs/view/4448866303/" TargetMode="External"/><Relationship Id="rId81" Type="http://schemas.openxmlformats.org/officeDocument/2006/relationships/hyperlink" Target="https://www.linkedin.com/jobs/view/4449996877/" TargetMode="External"/><Relationship Id="rId82" Type="http://schemas.openxmlformats.org/officeDocument/2006/relationships/hyperlink" Target="https://www.linkedin.com/jobs/view/4449619696/" TargetMode="External"/><Relationship Id="rId83" Type="http://schemas.openxmlformats.org/officeDocument/2006/relationships/hyperlink" Target="https://www.linkedin.com/jobs/view/4448536145/" TargetMode="External"/><Relationship Id="rId84" Type="http://schemas.openxmlformats.org/officeDocument/2006/relationships/hyperlink" Target="https://www.linkedin.com/jobs/view/4448553071/" TargetMode="External"/><Relationship Id="rId85" Type="http://schemas.openxmlformats.org/officeDocument/2006/relationships/hyperlink" Target="https://www.linkedin.com/jobs/view/4436845106/" TargetMode="External"/><Relationship Id="rId86" Type="http://schemas.openxmlformats.org/officeDocument/2006/relationships/hyperlink" Target="https://www.linkedin.com/jobs/view/4450200824/" TargetMode="External"/><Relationship Id="rId87" Type="http://schemas.openxmlformats.org/officeDocument/2006/relationships/hyperlink" Target="https://www.linkedin.com/jobs/view/4390700737/" TargetMode="External"/><Relationship Id="rId88" Type="http://schemas.openxmlformats.org/officeDocument/2006/relationships/hyperlink" Target="https://www.linkedin.com/jobs/view/4365608899/" TargetMode="External"/><Relationship Id="rId89"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join.com/companies/shippypro953/16512307-gtm-engineer" TargetMode="External"/><Relationship Id="rId2" Type="http://schemas.openxmlformats.org/officeDocument/2006/relationships/hyperlink" Target="https://www.holidu.com/careers/ai-engineer-agentic-experience-all-genders" TargetMode="External"/><Relationship Id="rId3" Type="http://schemas.openxmlformats.org/officeDocument/2006/relationships/hyperlink" Target="https://www.mews.com/en/careers/jobs/4861788101?gh_jid=4861788101" TargetMode="External"/><Relationship Id="rId4" Type="http://schemas.openxmlformats.org/officeDocument/2006/relationships/hyperlink" Target="https://career.limehome.de/o/product-engineer-mid-level-dfm" TargetMode="External"/><Relationship Id="rId5" Type="http://schemas.openxmlformats.org/officeDocument/2006/relationships/hyperlink" Target="https://www.mews.com/en/careers/jobs/4852746101?gh_jid=4852746101" TargetMode="External"/><Relationship Id="rId6" Type="http://schemas.openxmlformats.org/officeDocument/2006/relationships/hyperlink" Target="https://careers.hostaway.com/o/senior-backend-engineer-communications-100-remote-emea" TargetMode="External"/><Relationship Id="rId7" Type="http://schemas.openxmlformats.org/officeDocument/2006/relationships/hyperlink" Target="https://careers.hostaway.com/o/senior-backend-engineer-booking-engine-remote" TargetMode="External"/><Relationship Id="rId8" Type="http://schemas.openxmlformats.org/officeDocument/2006/relationships/hyperlink" Target="https://career.limehome.de/o/senior-growth-marketing-manager-mfd" TargetMode="External"/><Relationship Id="rId9" Type="http://schemas.openxmlformats.org/officeDocument/2006/relationships/hyperlink" Target="https://www.arbeitnow.com/jobs/companies/apaleo/growth-marketing-architect-berlin-338944" TargetMode="External"/><Relationship Id="rId10" Type="http://schemas.openxmlformats.org/officeDocument/2006/relationships/hyperlink" Target="https://careers.bobw.co/jobs/7691081-product-manager-commercial-growth" TargetMode="External"/><Relationship Id="rId11" Type="http://schemas.openxmlformats.org/officeDocument/2006/relationships/hyperlink" Target="https://www.guesty.com/careers-open-positions/co/barcelona/16.D6E/data-analyst/" TargetMode="External"/><Relationship Id="rId12" Type="http://schemas.openxmlformats.org/officeDocument/2006/relationships/hyperlink" Target="https://career.limehome.de/o/product-manager-payments-billing-mfd" TargetMode="External"/><Relationship Id="rId13" Type="http://schemas.openxmlformats.org/officeDocument/2006/relationships/hyperlink" Target="https://job-boards.greenhouse.io/amenitiz" TargetMode="External"/><Relationship Id="rId14" Type="http://schemas.openxmlformats.org/officeDocument/2006/relationships/hyperlink" Target="https://www.mews.com/en/careers/jobs/4826070101?gh_jid=4826070101" TargetMode="External"/><Relationship Id="rId15"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job-boards.eu.greenhouse.io/eggai/jobs/4772834101" TargetMode="External"/><Relationship Id="rId2" Type="http://schemas.openxmlformats.org/officeDocument/2006/relationships/hyperlink" Target="https://job-boards.greenhouse.io/nuitee/jobs/4901595101" TargetMode="External"/><Relationship Id="rId3" Type="http://schemas.openxmlformats.org/officeDocument/2006/relationships/hyperlink" Target="https://job-boards.greenhouse.io/arizeai/jobs/5793354004" TargetMode="External"/><Relationship Id="rId4" Type="http://schemas.openxmlformats.org/officeDocument/2006/relationships/hyperlink" Target="https://jobs.ashbyhq.com/hipeople-official/6c330d7b-7c6d-4993-8893-b58b5289d442/application" TargetMode="External"/><Relationship Id="rId5" Type="http://schemas.openxmlformats.org/officeDocument/2006/relationships/hyperlink" Target="https://jobs.ashbyhq.com/g2i/e2b998c8-7b32-4964-997c-93f1422ddff3/application" TargetMode="External"/><Relationship Id="rId6" Type="http://schemas.openxmlformats.org/officeDocument/2006/relationships/hyperlink" Target="https://jobs.ashbyhq.com/g2i/eef73fe6-fe5f-4949-a0f7-a21853eb4179/application" TargetMode="External"/><Relationship Id="rId7" Type="http://schemas.openxmlformats.org/officeDocument/2006/relationships/hyperlink" Target="https://job-boards.greenhouse.io/arizeai/jobs/5989510004" TargetMode="External"/><Relationship Id="rId8" Type="http://schemas.openxmlformats.org/officeDocument/2006/relationships/hyperlink" Target="https://jobs.ashbyhq.com/openhands/57564a95-13b6-47b1-b601-dd2353484e47/application" TargetMode="External"/><Relationship Id="rId9" Type="http://schemas.openxmlformats.org/officeDocument/2006/relationships/hyperlink" Target="https://jobs.ashbyhq.com/camunda/42b8007d-8299-4793-9581-2b3868ba0754/application" TargetMode="External"/><Relationship Id="rId10" Type="http://schemas.openxmlformats.org/officeDocument/2006/relationships/hyperlink" Target="https://jobs.ashbyhq.com/viktor/c750869a-1859-4339-bfc9-161a9ee2dc9f/application" TargetMode="External"/><Relationship Id="rId11" Type="http://schemas.openxmlformats.org/officeDocument/2006/relationships/hyperlink" Target="https://jobs.ashbyhq.com/tem/9f448576-a9aa-4c38-b6eb-745b4cc1fc35/application" TargetMode="External"/><Relationship Id="rId12" Type="http://schemas.openxmlformats.org/officeDocument/2006/relationships/hyperlink" Target="https://jobs.ashbyhq.com/oh/bcb79f15-907c-48bd-b78e-fcbbd2160a3e/application" TargetMode="External"/><Relationship Id="rId13" Type="http://schemas.openxmlformats.org/officeDocument/2006/relationships/hyperlink" Target="https://jobs.ashbyhq.com/g2i/86297d95-58ff-4d8b-90d9-98aff576c178/application" TargetMode="External"/><Relationship Id="rId14" Type="http://schemas.openxmlformats.org/officeDocument/2006/relationships/hyperlink" Target="https://jobs.ashbyhq.com/duvo/a1e5cdbc-6159-4895-8dae-cf71196550fa/application" TargetMode="External"/><Relationship Id="rId15" Type="http://schemas.openxmlformats.org/officeDocument/2006/relationships/hyperlink" Target="https://job-boards.greenhouse.io/sourcegraph91/jobs/6113147004" TargetMode="External"/><Relationship Id="rId16" Type="http://schemas.openxmlformats.org/officeDocument/2006/relationships/hyperlink" Target="https://jobs.ashbyhq.com/reedsy/b043b550-02b7-416f-8969-5db8fd9dc8ee/application" TargetMode="External"/><Relationship Id="rId17" Type="http://schemas.openxmlformats.org/officeDocument/2006/relationships/hyperlink" Target="https://jobs.ashbyhq.com/cohere/2d256112-b336-4539-8133-a0bf7f6698f0/application" TargetMode="External"/><Relationship Id="rId18" Type="http://schemas.openxmlformats.org/officeDocument/2006/relationships/hyperlink" Target="https://jobs.ashbyhq.com/n8n/6a370ff8-e069-48ed-bffa-5716a3dbd9d5/application" TargetMode="External"/><Relationship Id="rId19" Type="http://schemas.openxmlformats.org/officeDocument/2006/relationships/hyperlink" Target="https://jobs.ashbyhq.com/goldsky/790751f0-225b-4c88-ad17-58848a757e13/application" TargetMode="External"/><Relationship Id="rId20" Type="http://schemas.openxmlformats.org/officeDocument/2006/relationships/hyperlink" Target="https://jobs.ashbyhq.com/elevenlabs/6c4c57c1-ec72-42ba-af3a-eb7aebbde2e6/application" TargetMode="External"/><Relationship Id="rId21" Type="http://schemas.openxmlformats.org/officeDocument/2006/relationships/hyperlink" Target="https://jobs.lever.co/musixmatch/65971c0d-8220-47eb-a993-9705dc814c92/apply" TargetMode="External"/><Relationship Id="rId22" Type="http://schemas.openxmlformats.org/officeDocument/2006/relationships/hyperlink" Target="https://jobs.ashbyhq.com/myedspacecareers/e3519a68-d9b4-43c7-9cfe-855163c284b2/application" TargetMode="External"/><Relationship Id="rId23" Type="http://schemas.openxmlformats.org/officeDocument/2006/relationships/hyperlink" Target="https://jobs.eu.lever.co/eneba/df5397c1-489f-4eb9-a771-3d64eb42c86e/apply" TargetMode="External"/><Relationship Id="rId24" Type="http://schemas.openxmlformats.org/officeDocument/2006/relationships/hyperlink" Target="https://jobs.ashbyhq.com/supabase/23c9ce7e-6b7b-4316-8f00-8f318e902441/application" TargetMode="External"/><Relationship Id="rId25" Type="http://schemas.openxmlformats.org/officeDocument/2006/relationships/hyperlink" Target="https://jobs.ashbyhq.com/reflow/60f53162-d4d6-493f-a86b-2a4151816497/application" TargetMode="External"/><Relationship Id="rId26" Type="http://schemas.openxmlformats.org/officeDocument/2006/relationships/hyperlink" Target="https://jobs.ashbyhq.com/codex/3839fbad-7966-4c19-ad0f-138d8fa47062/application" TargetMode="External"/><Relationship Id="rId27" Type="http://schemas.openxmlformats.org/officeDocument/2006/relationships/hyperlink" Target="https://jobs.ashbyhq.com/checkly/39dceb59-01f6-43c9-9629-1055efd9697f/application" TargetMode="External"/><Relationship Id="rId28" Type="http://schemas.openxmlformats.org/officeDocument/2006/relationships/hyperlink" Target="https://jobs.ashbyhq.com/jimdo.com/7059268a-22f2-4a68-9bd8-e376c67a3b7b/application" TargetMode="External"/><Relationship Id="rId29" Type="http://schemas.openxmlformats.org/officeDocument/2006/relationships/hyperlink" Target="https://jobs.ashbyhq.com/taxfix.com/40703426-e9e5-4df0-9a6b-cea5526a5b05/application" TargetMode="External"/><Relationship Id="rId30" Type="http://schemas.openxmlformats.org/officeDocument/2006/relationships/hyperlink" Target="https://job-boards.greenhouse.io/embed/job_app?for=make&amp;token=7778897003" TargetMode="External"/><Relationship Id="rId31" Type="http://schemas.openxmlformats.org/officeDocument/2006/relationships/hyperlink" Target="https://job-boards.greenhouse.io/timeleft/jobs/4917404101" TargetMode="External"/><Relationship Id="rId32" Type="http://schemas.openxmlformats.org/officeDocument/2006/relationships/hyperlink" Target="https://job-boards.eu.greenhouse.io/justmarkets/jobs/4929557101" TargetMode="External"/><Relationship Id="rId33" Type="http://schemas.openxmlformats.org/officeDocument/2006/relationships/hyperlink" Target="https://job-boards.greenhouse.io/sportygroup/jobs/4933981101" TargetMode="External"/><Relationship Id="rId34" Type="http://schemas.openxmlformats.org/officeDocument/2006/relationships/hyperlink" Target="https://jobs.lever.co/jobgether/f481d0d9-88e3-46e6-b263-0690a73d0786/apply" TargetMode="External"/><Relationship Id="rId35" Type="http://schemas.openxmlformats.org/officeDocument/2006/relationships/hyperlink" Target="https://jobs.lever.co/jobgether/ba7cdbb8-ff78-4514-9974-ab8db0a51f22/apply" TargetMode="External"/><Relationship Id="rId36" Type="http://schemas.openxmlformats.org/officeDocument/2006/relationships/hyperlink" Target="https://jobs.lever.co/jobgether/7bb350c7-d399-431a-a69f-4cd38232d71e/apply" TargetMode="External"/><Relationship Id="rId37" Type="http://schemas.openxmlformats.org/officeDocument/2006/relationships/hyperlink" Target="https://jobs.lever.co/jobgether/e2a5be55-76e4-44f7-b7b6-2d6e54b14bed/apply" TargetMode="External"/><Relationship Id="rId38" Type="http://schemas.openxmlformats.org/officeDocument/2006/relationships/hyperlink" Target="https://jobs.lever.co/jobgether/17f76227-a965-40ec-8d5b-5f98bef62e3e/apply" TargetMode="External"/><Relationship Id="rId39" Type="http://schemas.openxmlformats.org/officeDocument/2006/relationships/hyperlink" Target="https://jobs.lever.co/jobgether/604e42de-5233-4d20-b7a6-6823f0d6b56d/apply" TargetMode="External"/><Relationship Id="rId40" Type="http://schemas.openxmlformats.org/officeDocument/2006/relationships/hyperlink" Target="https://jobs.lever.co/mendix/c0c545fe-53ae-4eda-869f-da2871dac697/apply" TargetMode="External"/><Relationship Id="rId41" Type="http://schemas.openxmlformats.org/officeDocument/2006/relationships/hyperlink" Target="https://job-boards.greenhouse.io/rtbhouse/jobs/4913268101" TargetMode="External"/><Relationship Id="rId42" Type="http://schemas.openxmlformats.org/officeDocument/2006/relationships/hyperlink" Target="https://job-boards.greenhouse.io/awin/jobs/7720634003" TargetMode="External"/><Relationship Id="rId43" Type="http://schemas.openxmlformats.org/officeDocument/2006/relationships/hyperlink" Target="https://jobs.lever.co/jobgether/ebed3f39-8988-4cda-bc1b-fc212cc8dd98/apply" TargetMode="External"/><Relationship Id="rId44" Type="http://schemas.openxmlformats.org/officeDocument/2006/relationships/hyperlink" Target="https://job-boards.greenhouse.io/bloomreach/jobs/5779409" TargetMode="External"/><Relationship Id="rId45" Type="http://schemas.openxmlformats.org/officeDocument/2006/relationships/hyperlink" Target="https://jobs.lever.co/oxylabs/8682b06a-c455-406f-ab50-65ce4c3ce318/apply" TargetMode="External"/><Relationship Id="rId46" Type="http://schemas.openxmlformats.org/officeDocument/2006/relationships/hyperlink" Target="https://jobs.lever.co/jobgether/b8e4e97f-2d78-41a8-a179-110fc4ed6119/apply" TargetMode="External"/><Relationship Id="rId47" Type="http://schemas.openxmlformats.org/officeDocument/2006/relationships/hyperlink" Target="https://jobs.lever.co/jobgether/f5760e2d-3cd2-4df5-8650-a04a78960d32/apply" TargetMode="External"/><Relationship Id="rId48" Type="http://schemas.openxmlformats.org/officeDocument/2006/relationships/hyperlink" Target="https://jobs.eu.lever.co/xm/5b5734a5-0ea7-4360-b4d1-6939aff2a621/apply" TargetMode="External"/><Relationship Id="rId49" Type="http://schemas.openxmlformats.org/officeDocument/2006/relationships/hyperlink" Target="https://jobs.lever.co/jobgether/e0c2953f-0797-40d5-b9fb-ef8697bbc421/apply" TargetMode="External"/><Relationship Id="rId50" Type="http://schemas.openxmlformats.org/officeDocument/2006/relationships/hyperlink" Target="https://jobs.lever.co/siteground/f3e78210-c419-449a-92fe-264344b90377/apply" TargetMode="External"/><Relationship Id="rId51" Type="http://schemas.openxmlformats.org/officeDocument/2006/relationships/hyperlink" Target="https://jobs.ashbyhq.com/upvest/15f04024-1155-4c45-8bc8-40f5ba4cb4e0/application" TargetMode="External"/><Relationship Id="rId52" Type="http://schemas.openxmlformats.org/officeDocument/2006/relationships/hyperlink" Target="https://job-boards.eu.greenhouse.io/superchat/jobs/4937205101" TargetMode="External"/><Relationship Id="rId53" Type="http://schemas.openxmlformats.org/officeDocument/2006/relationships/hyperlink" Target="https://jobs.ashbyhq.com/10xteam/ba5dbf6c-98a9-4a38-be25-b1ec100e12bc/application" TargetMode="External"/><Relationship Id="rId54" Type="http://schemas.openxmlformats.org/officeDocument/2006/relationships/hyperlink" Target="https://jobs.ashbyhq.com/sanity/7bb0c4d3-10e9-4e97-91a0-cfd1d0fc980a/application" TargetMode="External"/><Relationship Id="rId55" Type="http://schemas.openxmlformats.org/officeDocument/2006/relationships/hyperlink" Target="https://jobs.ashbyhq.com/deepsetai/64ae158e-76ed-43b9-8f19-d709bd2231ee/application" TargetMode="External"/><Relationship Id="rId56" Type="http://schemas.openxmlformats.org/officeDocument/2006/relationships/hyperlink" Target="https://jobs.ashbyhq.com/quicknode/aa18b773-624e-4173-ab8c-fa534f3bab4b/application" TargetMode="External"/><Relationship Id="rId57" Type="http://schemas.openxmlformats.org/officeDocument/2006/relationships/hyperlink" Target="https://chrono24.jobs.personio.de/job/2717899/apply?language=en" TargetMode="External"/><Relationship Id="rId58" Type="http://schemas.openxmlformats.org/officeDocument/2006/relationships/hyperlink" Target="https://jobs.ashbyhq.com/kota/cf1dc9c1-dcfb-48ff-aade-8b11c5180216/application" TargetMode="External"/><Relationship Id="rId59" Type="http://schemas.openxmlformats.org/officeDocument/2006/relationships/hyperlink" Target="https://jobs.ashbyhq.com/bjakcareer/3ead2626-c0ad-4fd4-96c1-1e4221c7ee81/application" TargetMode="External"/><Relationship Id="rId60" Type="http://schemas.openxmlformats.org/officeDocument/2006/relationships/hyperlink" Target="https://jobs.ashbyhq.com/orb/3197e844-cf70-47b2-9a90-df64393e9e5b/application" TargetMode="External"/><Relationship Id="rId6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job-boards.greenhouse.io/idnow/jobs/4905098101" TargetMode="External"/><Relationship Id="rId2" Type="http://schemas.openxmlformats.org/officeDocument/2006/relationships/hyperlink" Target="https://job-boards.greenhouse.io/kentik/jobs/4716196005" TargetMode="External"/><Relationship Id="rId3" Type="http://schemas.openxmlformats.org/officeDocument/2006/relationships/hyperlink" Target="https://job-boards.greenhouse.io/thequalitygroupgmbh2/jobs/4931097101" TargetMode="External"/><Relationship Id="rId4" Type="http://schemas.openxmlformats.org/officeDocument/2006/relationships/hyperlink" Target="https://job-boards.greenhouse.io/postman/jobs/7528350003" TargetMode="External"/><Relationship Id="rId5" Type="http://schemas.openxmlformats.org/officeDocument/2006/relationships/hyperlink" Target="https://job-boards.greenhouse.io/postman/jobs/7529471003" TargetMode="External"/><Relationship Id="rId6" Type="http://schemas.openxmlformats.org/officeDocument/2006/relationships/hyperlink" Target="https://job-boards.greenhouse.io/appfire/jobs/4711980005" TargetMode="External"/><Relationship Id="rId7" Type="http://schemas.openxmlformats.org/officeDocument/2006/relationships/hyperlink" Target="https://job-boards.greenhouse.io/databento/jobs/7976255" TargetMode="External"/><Relationship Id="rId8" Type="http://schemas.openxmlformats.org/officeDocument/2006/relationships/hyperlink" Target="https://job-boards.greenhouse.io/unframe/jobs/4944222101" TargetMode="External"/><Relationship Id="rId9" Type="http://schemas.openxmlformats.org/officeDocument/2006/relationships/hyperlink" Target="https://job-boards.greenhouse.io/getyourguide/jobs/7976582" TargetMode="External"/><Relationship Id="rId10" Type="http://schemas.openxmlformats.org/officeDocument/2006/relationships/hyperlink" Target="https://job-boards.greenhouse.io/getyourguide/jobs/7552392" TargetMode="External"/><Relationship Id="rId11" Type="http://schemas.openxmlformats.org/officeDocument/2006/relationships/hyperlink" Target="https://job-boards.greenhouse.io/getyourguide/jobs/7979056" TargetMode="External"/><Relationship Id="rId12" Type="http://schemas.openxmlformats.org/officeDocument/2006/relationships/hyperlink" Target="https://job-boards.greenhouse.io/getyourguide/jobs/7887400" TargetMode="External"/><Relationship Id="rId13" Type="http://schemas.openxmlformats.org/officeDocument/2006/relationships/hyperlink" Target="https://job-boards.greenhouse.io/datacor/jobs/5200122007" TargetMode="External"/><Relationship Id="rId14" Type="http://schemas.openxmlformats.org/officeDocument/2006/relationships/hyperlink" Target="https://job-boards.greenhouse.io/workboard/jobs/8634352002" TargetMode="External"/><Relationship Id="rId15" Type="http://schemas.openxmlformats.org/officeDocument/2006/relationships/hyperlink" Target="https://job-boards.greenhouse.io/commercetools/jobs/7774983003" TargetMode="External"/><Relationship Id="rId16" Type="http://schemas.openxmlformats.org/officeDocument/2006/relationships/hyperlink" Target="https://jobs.ashbyhq.com/n8n/5afbde12-defb-457d-a21e-584347141436/application" TargetMode="External"/><Relationship Id="rId17" Type="http://schemas.openxmlformats.org/officeDocument/2006/relationships/hyperlink" Target="https://job-boards.greenhouse.io/xai/jobs/5063490007" TargetMode="External"/><Relationship Id="rId18" Type="http://schemas.openxmlformats.org/officeDocument/2006/relationships/hyperlink" Target="https://jobs.ashbyhq.com/neara/12c88319-6f1e-48e1-acad-fc4c1017b1cd/application" TargetMode="External"/><Relationship Id="rId19" Type="http://schemas.openxmlformats.org/officeDocument/2006/relationships/hyperlink" Target="https://jobs.ashbyhq.com/sunday-natural/334daa15-1d5d-413a-b68b-3e100d0fe6aa/application" TargetMode="External"/><Relationship Id="rId20" Type="http://schemas.openxmlformats.org/officeDocument/2006/relationships/hyperlink" Target="https://jobs.ashbyhq.com/rossum.ai/5813d4c2-aa73-40ee-89a6-cc670c80be9f/application" TargetMode="External"/><Relationship Id="rId21" Type="http://schemas.openxmlformats.org/officeDocument/2006/relationships/hyperlink" Target="https://job-boards.greenhouse.io/altamirafreelance/jobs/4936421101" TargetMode="External"/><Relationship Id="rId22" Type="http://schemas.openxmlformats.org/officeDocument/2006/relationships/hyperlink" Target="https://job-boards.greenhouse.io/cloudbeds/jobs/4717008005" TargetMode="External"/><Relationship Id="rId23" Type="http://schemas.openxmlformats.org/officeDocument/2006/relationships/hyperlink" Target="https://jobs.ashbyhq.com/gorilla/d433c595-1824-4fba-be86-61732600a0fd/application" TargetMode="External"/><Relationship Id="rId24" Type="http://schemas.openxmlformats.org/officeDocument/2006/relationships/hyperlink" Target="https://apply.workable.com/digitalgenius/j/E03A435AC1/apply/" TargetMode="External"/><Relationship Id="rId25" Type="http://schemas.openxmlformats.org/officeDocument/2006/relationships/hyperlink" Target="https://apply.workable.com/freedomfinanceeu/j/348556E7E4/apply/" TargetMode="External"/><Relationship Id="rId26" Type="http://schemas.openxmlformats.org/officeDocument/2006/relationships/hyperlink" Target="https://apply.workable.com/laravel/j/E2EEEA7303/apply/" TargetMode="External"/><Relationship Id="rId27" Type="http://schemas.openxmlformats.org/officeDocument/2006/relationships/hyperlink" Target="https://apply.workable.com/remofirst/j/CB946C18D3/apply/" TargetMode="External"/><Relationship Id="rId28" Type="http://schemas.openxmlformats.org/officeDocument/2006/relationships/hyperlink" Target="https://makersitegmbh.recruitee.com/o/technical-support-engineer-mfx" TargetMode="External"/><Relationship Id="rId29" Type="http://schemas.openxmlformats.org/officeDocument/2006/relationships/hyperlink" Target="https://tiugotech.recruitee.com/o/technical-product-manager-ai-services-team" TargetMode="External"/><Relationship Id="rId30" Type="http://schemas.openxmlformats.org/officeDocument/2006/relationships/hyperlink" Target="https://careers.mgid.com/o/technical-account-manager-rtb-1" TargetMode="External"/><Relationship Id="rId31" Type="http://schemas.openxmlformats.org/officeDocument/2006/relationships/hyperlink" Target="https://jobs.ashbyhq.com/tandem-health/583fef4f-4417-40d9-a87e-e405180f71ce/application" TargetMode="External"/><Relationship Id="rId32" Type="http://schemas.openxmlformats.org/officeDocument/2006/relationships/hyperlink" Target="https://jobs.ashbyhq.com/absorblms/a921a1d0-5e93-4bbf-a75e-125732438449/application" TargetMode="External"/><Relationship Id="rId33" Type="http://schemas.openxmlformats.org/officeDocument/2006/relationships/hyperlink" Target="https://deeploi.jobs.personio.de/job/2717159/apply" TargetMode="External"/><Relationship Id="rId34" Type="http://schemas.openxmlformats.org/officeDocument/2006/relationships/hyperlink" Target="https://job-boards.greenhouse.io/doitintl/jobs/7795513003" TargetMode="External"/><Relationship Id="rId35" Type="http://schemas.openxmlformats.org/officeDocument/2006/relationships/hyperlink" Target="https://job-boards.greenhouse.io/customerio/jobs/8089365" TargetMode="External"/><Relationship Id="rId36"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euremotejobs.com/job/arkipel-remote-within-the-1-1-cet-time-zone-range-full-time-product-engineer-at-join/" TargetMode="External"/><Relationship Id="rId2" Type="http://schemas.openxmlformats.org/officeDocument/2006/relationships/hyperlink" Target="https://join.com/companies/getaveryai/16375814-founding-engineer-core" TargetMode="External"/><Relationship Id="rId3" Type="http://schemas.openxmlformats.org/officeDocument/2006/relationships/hyperlink" Target="https://join.com/companies/gtmbaseio/16345856-forward-deployed-crm-architect" TargetMode="External"/><Relationship Id="rId4" Type="http://schemas.openxmlformats.org/officeDocument/2006/relationships/hyperlink" Target="https://join.com/companies/meetjamieai/16383408-ai-engineer-top-5-salary-band-in-europe" TargetMode="External"/><Relationship Id="rId5" Type="http://schemas.openxmlformats.org/officeDocument/2006/relationships/hyperlink" Target="https://join.com/companies/kfs1/16523505-junior-full-stack-developer-typescript-react-supabase-postgres" TargetMode="External"/><Relationship Id="rId6" Type="http://schemas.openxmlformats.org/officeDocument/2006/relationships/hyperlink" Target="https://join.com/companies/laioutr/16494968-ai-engineer-m-f-d-full-stack-typescript-nuxt-next-vue-react" TargetMode="External"/><Relationship Id="rId7" Type="http://schemas.openxmlformats.org/officeDocument/2006/relationships/hyperlink" Target="https://join.com/companies/oryn-groupcom/16512536-gtm-engineer-founding-partner-m-f-x" TargetMode="External"/><Relationship Id="rId8" Type="http://schemas.openxmlformats.org/officeDocument/2006/relationships/hyperlink" Target="https://join.com/companies" TargetMode="External"/><Relationship Id="rId9" Type="http://schemas.openxmlformats.org/officeDocument/2006/relationships/hyperlink" Target="https://join.com/companies/revos/15825399-ai-native-senior-full-stack-engineer" TargetMode="External"/><Relationship Id="rId10" Type="http://schemas.openxmlformats.org/officeDocument/2006/relationships/hyperlink" Target="https://join.com/companies/shippypro953/16512307-gtm-engineer" TargetMode="External"/><Relationship Id="rId11" Type="http://schemas.openxmlformats.org/officeDocument/2006/relationships/hyperlink" Target="https://join.com/companies/cargovibede/16370194-founding-engineer-all-genders" TargetMode="External"/><Relationship Id="rId12" Type="http://schemas.openxmlformats.org/officeDocument/2006/relationships/hyperlink" Target="https://join.com/companies" TargetMode="External"/><Relationship Id="rId13" Type="http://schemas.openxmlformats.org/officeDocument/2006/relationships/hyperlink" Target="https://join.com/companies/peopleix/16471347-full-stack-engineer-workflow-automation-platform-m-f-d" TargetMode="External"/><Relationship Id="rId14" Type="http://schemas.openxmlformats.org/officeDocument/2006/relationships/hyperlink" Target="https://join.com/companies/saleshax/16342286-full-stack-ai-developer-engineer-m-w-d" TargetMode="External"/><Relationship Id="rId15" Type="http://schemas.openxmlformats.org/officeDocument/2006/relationships/hyperlink" Target="https://apply.workable.com/digitalgenius/j/E03A435AC1" TargetMode="External"/><Relationship Id="rId16" Type="http://schemas.openxmlformats.org/officeDocument/2006/relationships/hyperlink" Target="https://apply.workable.com/laravel/j/E2EEEA7303" TargetMode="External"/><Relationship Id="rId17" Type="http://schemas.openxmlformats.org/officeDocument/2006/relationships/hyperlink" Target="https://apply.workable.com/toloka-ai/j/F5013CA4FC/apply/" TargetMode="External"/><Relationship Id="rId18" Type="http://schemas.openxmlformats.org/officeDocument/2006/relationships/hyperlink" Target="https://apply.workable.com/moneyfarm/j/DD702C60CF/" TargetMode="External"/><Relationship Id="rId19" Type="http://schemas.openxmlformats.org/officeDocument/2006/relationships/hyperlink" Target="https://apply.workable.com/remofirst/j/CB946C18D3" TargetMode="External"/><Relationship Id="rId20" Type="http://schemas.openxmlformats.org/officeDocument/2006/relationships/hyperlink" Target="https://apply.workable.com/salescaptain/j/5D318B62CB/" TargetMode="External"/><Relationship Id="rId21" Type="http://schemas.openxmlformats.org/officeDocument/2006/relationships/hyperlink" Target="https://it.indeed.com/viewjob?jk=75f472b960751e88" TargetMode="External"/><Relationship Id="rId22" Type="http://schemas.openxmlformats.org/officeDocument/2006/relationships/hyperlink" Target="https://it.indeed.com/viewjob?jk=ca2f94a1378e690d" TargetMode="External"/><Relationship Id="rId23" Type="http://schemas.openxmlformats.org/officeDocument/2006/relationships/hyperlink" Target="https://it.indeed.com/viewjob?jk=09dad482b024076d" TargetMode="External"/><Relationship Id="rId24" Type="http://schemas.openxmlformats.org/officeDocument/2006/relationships/hyperlink" Target="https://jobs.smartrecruiters.com/Docplanner" TargetMode="External"/><Relationship Id="rId25" Type="http://schemas.openxmlformats.org/officeDocument/2006/relationships/hyperlink" Target="https://job-boards.eu.greenhouse.io/gensyn/jobs/4660248101" TargetMode="External"/><Relationship Id="rId26" Type="http://schemas.openxmlformats.org/officeDocument/2006/relationships/hyperlink" Target="https://jobs.ashbyhq.com/kairos-project/d0aeae33-8eae-4d58-ac30-369a87dd90c7/application" TargetMode="External"/><Relationship Id="rId27" Type="http://schemas.openxmlformats.org/officeDocument/2006/relationships/hyperlink" Target="https://job-boards.greenhouse.io/fueledcareers/jobs/4038230008" TargetMode="External"/><Relationship Id="rId28" Type="http://schemas.openxmlformats.org/officeDocument/2006/relationships/hyperlink" Target="https://holtzbrinck-careers.softgarden.io/job/62651254/" TargetMode="External"/><Relationship Id="rId29" Type="http://schemas.openxmlformats.org/officeDocument/2006/relationships/hyperlink" Target="https://himalayas.app/companies/paires/jobs/gtm-engineer" TargetMode="External"/><Relationship Id="rId30" Type="http://schemas.openxmlformats.org/officeDocument/2006/relationships/hyperlink" Target="https://job-boards.greenhouse.io/sourcegraph91/jobs/6113147004" TargetMode="External"/><Relationship Id="rId31" Type="http://schemas.openxmlformats.org/officeDocument/2006/relationships/hyperlink" Target="https://job-boards.greenhouse.io/alertmedia/jobs/8656401002" TargetMode="External"/><Relationship Id="rId32" Type="http://schemas.openxmlformats.org/officeDocument/2006/relationships/hyperlink" Target="https://jobs.ashbyhq.com/attio" TargetMode="External"/><Relationship Id="rId33" Type="http://schemas.openxmlformats.org/officeDocument/2006/relationships/hyperlink" Target="https://jobs.ashbyhq.com/ben" TargetMode="External"/><Relationship Id="rId34" Type="http://schemas.openxmlformats.org/officeDocument/2006/relationships/hyperlink" Target="https://cresta.com/careers" TargetMode="External"/><Relationship Id="rId35" Type="http://schemas.openxmlformats.org/officeDocument/2006/relationships/hyperlink" Target="https://job-boards.greenhouse.io/customerio/jobs/8089365" TargetMode="External"/><Relationship Id="rId36" Type="http://schemas.openxmlformats.org/officeDocument/2006/relationships/hyperlink" Target="https://jobs.ashbyhq.com/lovable/7fe39289-1f7f-47d4-8002-d3aeeaaaabc6/application" TargetMode="External"/><Relationship Id="rId37" Type="http://schemas.openxmlformats.org/officeDocument/2006/relationships/hyperlink" Target="https://builtin.com/job/software-engineer-cloud-backend/6802123" TargetMode="External"/><Relationship Id="rId38" Type="http://schemas.openxmlformats.org/officeDocument/2006/relationships/hyperlink" Target="https://it.indeed.com/viewjob?jk=ec83a38a6467bd5d" TargetMode="External"/><Relationship Id="rId39" Type="http://schemas.openxmlformats.org/officeDocument/2006/relationships/hyperlink" Target="https://jobs.ashbyhq.com/satispay/45744663-4768-48d1-81c9-218eb54a2027/application" TargetMode="External"/><Relationship Id="rId40" Type="http://schemas.openxmlformats.org/officeDocument/2006/relationships/hyperlink" Target="https://jobs.ashbyhq.com/the-global-talent-co/141a52e8-050a-4761-8d5d-746f1a592efb/application" TargetMode="External"/><Relationship Id="rId41" Type="http://schemas.openxmlformats.org/officeDocument/2006/relationships/hyperlink" Target="https://epilot.cloud/careers" TargetMode="External"/><Relationship Id="rId42" Type="http://schemas.openxmlformats.org/officeDocument/2006/relationships/hyperlink" Target="https://jobs.lever.co/jobgether/89509e99-290d-446f-87a7-39c3a67a4a58/apply" TargetMode="External"/><Relationship Id="rId43" Type="http://schemas.openxmlformats.org/officeDocument/2006/relationships/hyperlink" Target="https://jobs.lever.co/jobgether/2875aa8f-2aaa-495a-a70b-d2dcc0355218/apply" TargetMode="External"/><Relationship Id="rId44" Type="http://schemas.openxmlformats.org/officeDocument/2006/relationships/hyperlink" Target="https://job-boards.greenhouse.io/rithumliboard/jobs/8092924" TargetMode="External"/><Relationship Id="rId45" Type="http://schemas.openxmlformats.org/officeDocument/2006/relationships/hyperlink" Target="https://jobs.ashbyhq.com/quadrivia/ef77b530-b481-4a32-a6d6-b0469a5419f2" TargetMode="External"/><Relationship Id="rId46" Type="http://schemas.openxmlformats.org/officeDocument/2006/relationships/hyperlink" Target="https://job-boards.greenhouse.io/bloomreach/jobs/8064322" TargetMode="External"/><Relationship Id="rId47" Type="http://schemas.openxmlformats.org/officeDocument/2006/relationships/hyperlink" Target="https://jobs.eu.lever.co/olx/e0e18bb2-2cd8-473c-b804-b4849bda1f88" TargetMode="External"/><Relationship Id="rId48" Type="http://schemas.openxmlformats.org/officeDocument/2006/relationships/hyperlink" Target="https://job-boards.greenhouse.io/rithumliboard/jobs/8016946" TargetMode="External"/><Relationship Id="rId49" Type="http://schemas.openxmlformats.org/officeDocument/2006/relationships/hyperlink" Target="https://job-boards.greenhouse.io/databento/jobs/7943501" TargetMode="External"/><Relationship Id="rId50" Type="http://schemas.openxmlformats.org/officeDocument/2006/relationships/hyperlink" Target="https://job-boards.greenhouse.io/amplitude/jobs/8548089002" TargetMode="External"/><Relationship Id="rId51" Type="http://schemas.openxmlformats.org/officeDocument/2006/relationships/hyperlink" Target="https://job-boards.greenhouse.io/jetbrains/jobs/4873487101" TargetMode="External"/><Relationship Id="rId52" Type="http://schemas.openxmlformats.org/officeDocument/2006/relationships/hyperlink" Target="https://job-boards.greenhouse.io/telnyx54/jobs/4651630003" TargetMode="External"/><Relationship Id="rId53" Type="http://schemas.openxmlformats.org/officeDocument/2006/relationships/hyperlink" Target="https://job-boards.greenhouse.io/vonage/jobs/8477113002" TargetMode="External"/><Relationship Id="rId54" Type="http://schemas.openxmlformats.org/officeDocument/2006/relationships/hyperlink" Target="https://job-boards.eu.greenhouse.io/lighthouse/jobs/4849717101" TargetMode="External"/><Relationship Id="rId55" Type="http://schemas.openxmlformats.org/officeDocument/2006/relationships/hyperlink" Target="https://jobs.lever.co/distru/b7bb8662-3ede-4b41-bc98-b8ca5678f8d3/apply" TargetMode="External"/><Relationship Id="rId56" Type="http://schemas.openxmlformats.org/officeDocument/2006/relationships/hyperlink" Target="https://jobs.lever.co/deliverect/ec294766-fb58-4dd9-8c2f-c18019f599ca/apply" TargetMode="External"/><Relationship Id="rId57" Type="http://schemas.openxmlformats.org/officeDocument/2006/relationships/hyperlink" Target="https://jobs.lever.co/activecampaign/3e093aec-8540-49c7-93f1-719727c1191d/apply" TargetMode="External"/><Relationship Id="rId58" Type="http://schemas.openxmlformats.org/officeDocument/2006/relationships/hyperlink" Target="https://jobs.eu.lever.co/eneba/df5397c1-489f-4eb9-a771-3d64eb42c86e/apply" TargetMode="External"/><Relationship Id="rId59" Type="http://schemas.openxmlformats.org/officeDocument/2006/relationships/hyperlink" Target="https://jobs.ashbyhq.com/posthog/b42fd20b-b647-4f42-b725-b29ca472cba8" TargetMode="External"/><Relationship Id="rId60" Type="http://schemas.openxmlformats.org/officeDocument/2006/relationships/hyperlink" Target="https://jobs.lever.co/lodgify/e1eab491-a863-4292-8912-0449992aea60/apply" TargetMode="External"/><Relationship Id="rId61" Type="http://schemas.openxmlformats.org/officeDocument/2006/relationships/hyperlink" Target="https://job-boards.greenhouse.io/alignerr/jobs/4714343007" TargetMode="External"/><Relationship Id="rId62" Type="http://schemas.openxmlformats.org/officeDocument/2006/relationships/hyperlink" Target="https://job-boards.greenhouse.io/alignerr/jobs/4362423007" TargetMode="External"/><Relationship Id="rId63" Type="http://schemas.openxmlformats.org/officeDocument/2006/relationships/hyperlink" Target="https://job-boards.greenhouse.io/alignerr/jobs/4769519007" TargetMode="External"/><Relationship Id="rId64" Type="http://schemas.openxmlformats.org/officeDocument/2006/relationships/hyperlink" Target="https://jobs.ashbyhq.com/rossum.ai/ba7beef9-03ff-4624-9e03-d8d6ea593b64" TargetMode="External"/><Relationship Id="rId65" Type="http://schemas.openxmlformats.org/officeDocument/2006/relationships/hyperlink" Target="https://boards.greenhouse.io/embed/job_app?for=wizinc&amp;token=4701893006" TargetMode="External"/><Relationship Id="rId66" Type="http://schemas.openxmlformats.org/officeDocument/2006/relationships/hyperlink" Target="https://job-boards.greenhouse.io/amenitiz" TargetMode="External"/><Relationship Id="rId67" Type="http://schemas.openxmlformats.org/officeDocument/2006/relationships/hyperlink" Target="https://job-boards.greenhouse.io/amenitiz" TargetMode="External"/><Relationship Id="rId68" Type="http://schemas.openxmlformats.org/officeDocument/2006/relationships/hyperlink" Target="https://jobs.ashbyhq.com/weaviate/0d1c47c4-bc5b-45d8-8791-8f30f0fb2a12/application" TargetMode="External"/><Relationship Id="rId69" Type="http://schemas.openxmlformats.org/officeDocument/2006/relationships/hyperlink" Target="https://ascendingai.recruitee.com/o/full-stack-engineer-mid-level" TargetMode="External"/><Relationship Id="rId70" Type="http://schemas.openxmlformats.org/officeDocument/2006/relationships/hyperlink" Target="https://job-boards.eu.greenhouse.io/super/jobs/4821514101" TargetMode="External"/><Relationship Id="rId71" Type="http://schemas.openxmlformats.org/officeDocument/2006/relationships/hyperlink" Target="https://jobs.treatwell.com/_/j/B7E88C102B/apply" TargetMode="External"/><Relationship Id="rId72" Type="http://schemas.openxmlformats.org/officeDocument/2006/relationships/hyperlink" Target="https://jobs.smartrecruiters.com/BEUMERGroup1/744000128890468" TargetMode="External"/><Relationship Id="rId73" Type="http://schemas.openxmlformats.org/officeDocument/2006/relationships/hyperlink" Target="https://jobs.smartrecruiters.com/BEUMERGroup1/744000118435467" TargetMode="External"/><Relationship Id="rId74" Type="http://schemas.openxmlformats.org/officeDocument/2006/relationships/hyperlink" Target="https://careers.launchmetrics.com/jobs/8102801-full-stack-software-development-engineer-react" TargetMode="External"/><Relationship Id="rId75" Type="http://schemas.openxmlformats.org/officeDocument/2006/relationships/hyperlink" Target="https://job-boards.greenhouse.io/intercom/jobs/6436276" TargetMode="External"/><Relationship Id="rId76"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www.linkedin.com/company/wemakefuture/" TargetMode="External"/><Relationship Id="rId2" Type="http://schemas.openxmlformats.org/officeDocument/2006/relationships/hyperlink" Target="https://de.linkedin.com/company/aoe" TargetMode="External"/><Relationship Id="rId3" Type="http://schemas.openxmlformats.org/officeDocument/2006/relationships/hyperlink" Target="https://www.linkedin.com/company/aticco" TargetMode="External"/><Relationship Id="rId4" Type="http://schemas.openxmlformats.org/officeDocument/2006/relationships/hyperlink" Target="https://www.linkedin.com/company/wearecloudworks" TargetMode="External"/><Relationship Id="rId5" Type="http://schemas.openxmlformats.org/officeDocument/2006/relationships/hyperlink" Target="https://www.linkedin.com/company/cobot/" TargetMode="External"/><Relationship Id="rId6" Type="http://schemas.openxmlformats.org/officeDocument/2006/relationships/hyperlink" Target="https://www.linkedin.com/company/copernicowork/" TargetMode="External"/><Relationship Id="rId7" Type="http://schemas.openxmlformats.org/officeDocument/2006/relationships/hyperlink" Target="https://www.linkedin.com/company/coworkies" TargetMode="External"/><Relationship Id="rId8" Type="http://schemas.openxmlformats.org/officeDocument/2006/relationships/hyperlink" Target="https://www.linkedin.com/company/deskimoapp" TargetMode="External"/><Relationship Id="rId9" Type="http://schemas.openxmlformats.org/officeDocument/2006/relationships/hyperlink" Target="https://www.linkedin.com/company/digitalcubeai/" TargetMode="External"/><Relationship Id="rId10" Type="http://schemas.openxmlformats.org/officeDocument/2006/relationships/hyperlink" Target="https://www.linkedin.com/company/flexas" TargetMode="External"/><Relationship Id="rId11" Type="http://schemas.openxmlformats.org/officeDocument/2006/relationships/hyperlink" Target="https://www.linkedin.com/company/impacthubmilano%20and%20https://www.linkedin.com/company/impacthubnetwork" TargetMode="External"/><Relationship Id="rId12" Type="http://schemas.openxmlformats.org/officeDocument/2006/relationships/hyperlink" Target="https://www.linkedin.com/company/makeitfuture/" TargetMode="External"/><Relationship Id="rId13" Type="http://schemas.openxmlformats.org/officeDocument/2006/relationships/hyperlink" Target="https://www.linkedin.com/company/stx-next-ai-solutions" TargetMode="External"/><Relationship Id="rId14" Type="http://schemas.openxmlformats.org/officeDocument/2006/relationships/hyperlink" Target="https://www.linkedin.com/company/saleslift-studio/" TargetMode="External"/><Relationship Id="rId15" Type="http://schemas.openxmlformats.org/officeDocument/2006/relationships/hyperlink" Target="https://www.linkedin.com/company/spacebring" TargetMode="External"/><Relationship Id="rId16" Type="http://schemas.openxmlformats.org/officeDocument/2006/relationships/hyperlink" Target="https://www.linkedin.com/company/spacent/" TargetMode="External"/><Relationship Id="rId17" Type="http://schemas.openxmlformats.org/officeDocument/2006/relationships/hyperlink" Target="https://www.linkedin.com/company/talentgarden" TargetMode="External"/><Relationship Id="rId18" Type="http://schemas.openxmlformats.org/officeDocument/2006/relationships/hyperlink" Target="https://linkedin.com/company/workfloows" TargetMode="External"/><Relationship Id="rId19" Type="http://schemas.openxmlformats.org/officeDocument/2006/relationships/hyperlink" Target="https://www.linkedin.com/company/zapfloorhq" TargetMode="External"/><Relationship Id="rId20" Type="http://schemas.openxmlformats.org/officeDocument/2006/relationships/hyperlink" Target="https://www.linkedin.com/company/atlantisdx" TargetMode="External"/><Relationship Id="rId21" Type="http://schemas.openxmlformats.org/officeDocument/2006/relationships/hyperlink" Target="https://www.linkedin.com/company/ace-workflow" TargetMode="External"/><Relationship Id="rId22" Type="http://schemas.openxmlformats.org/officeDocument/2006/relationships/hyperlink" Target="https://www.linkedin.com/company/archieapp" TargetMode="External"/><Relationship Id="rId23" Type="http://schemas.openxmlformats.org/officeDocument/2006/relationships/hyperlink" Target="https://www.linkedin.com/company/decodifai" TargetMode="External"/><Relationship Id="rId24" Type="http://schemas.openxmlformats.org/officeDocument/2006/relationships/hyperlink" Target="https://www.linkedin.com/company/goodspeed-studio/" TargetMode="External"/><Relationship Id="rId25" Type="http://schemas.openxmlformats.org/officeDocument/2006/relationships/hyperlink" Target="https://www.linkedin.com/company/huckletree" TargetMode="External"/><Relationship Id="rId26" Type="http://schemas.openxmlformats.org/officeDocument/2006/relationships/hyperlink" Target="https://nl.linkedin.com/company/leapforce-nl" TargetMode="External"/><Relationship Id="rId27" Type="http://schemas.openxmlformats.org/officeDocument/2006/relationships/hyperlink" Target="https://www.linkedin.com/company/netguru" TargetMode="External"/><Relationship Id="rId28" Type="http://schemas.openxmlformats.org/officeDocument/2006/relationships/hyperlink" Target="https://www.linkedin.com/company/sharedesk" TargetMode="External"/><Relationship Id="rId29" Type="http://schemas.openxmlformats.org/officeDocument/2006/relationships/hyperlink" Target="https://www.linkedin.com/company/roboyo" TargetMode="External"/><Relationship Id="rId30" Type="http://schemas.openxmlformats.org/officeDocument/2006/relationships/hyperlink" Target="https://www.linkedin.com/company/upflex" TargetMode="External"/><Relationship Id="rId31" Type="http://schemas.openxmlformats.org/officeDocument/2006/relationships/hyperlink" Target="https://www.linkedin.com/company/betahaus/" TargetMode="External"/><Relationship Id="rId32"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14"/>
    <col collapsed="false" customWidth="true" hidden="false" outlineLevel="0" max="3" min="3" style="1" width="34"/>
    <col collapsed="false" customWidth="true" hidden="false" outlineLevel="0" max="4" min="4" style="1" width="110"/>
  </cols>
  <sheetData>
    <row r="1" customFormat="false" ht="18"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row>
    <row r="5" customFormat="false" ht="15" hidden="false" customHeight="true" outlineLevel="0" collapsed="false">
      <c r="A5" s="5" t="s">
        <v>5</v>
      </c>
      <c r="B5" s="6" t="n">
        <f aca="false">COUNTA('New leads'!C5:C154)+COUNTA('LinkedIn finds'!C5:C92)+COUNTA('FlowSpace-like platforms'!C5:C24)</f>
        <v>258</v>
      </c>
      <c r="C5" s="7" t="s">
        <v>6</v>
      </c>
    </row>
    <row r="6" customFormat="false" ht="15" hidden="false" customHeight="true" outlineLevel="0" collapsed="false">
      <c r="A6" s="7" t="s">
        <v>7</v>
      </c>
      <c r="B6" s="6" t="n">
        <f aca="false">COUNTA('New leads'!C5:C154)</f>
        <v>150</v>
      </c>
      <c r="C6" s="7" t="s">
        <v>8</v>
      </c>
    </row>
    <row r="7" customFormat="false" ht="15" hidden="false" customHeight="true" outlineLevel="0" collapsed="false">
      <c r="A7" s="7" t="s">
        <v>9</v>
      </c>
      <c r="B7" s="6" t="n">
        <f aca="false">COUNTA('FlowSpace-like platforms'!C5:C24)</f>
        <v>20</v>
      </c>
      <c r="C7" s="7" t="s">
        <v>10</v>
      </c>
    </row>
    <row r="8" customFormat="false" ht="15" hidden="false" customHeight="true" outlineLevel="0" collapsed="false">
      <c r="A8" s="7" t="s">
        <v>11</v>
      </c>
      <c r="B8" s="6" t="n">
        <f aca="false">COUNTA('LinkedIn finds'!C5:C92)</f>
        <v>88</v>
      </c>
      <c r="C8" s="7" t="s">
        <v>12</v>
      </c>
    </row>
    <row r="9" customFormat="false" ht="15" hidden="false" customHeight="true" outlineLevel="0" collapsed="false">
      <c r="A9" s="7" t="s">
        <v>13</v>
      </c>
      <c r="B9" s="6" t="n">
        <f aca="false">COUNTIF('LinkedIn finds'!E5:E92,"1*")</f>
        <v>8</v>
      </c>
      <c r="C9" s="7" t="s">
        <v>14</v>
      </c>
    </row>
    <row r="10" customFormat="false" ht="15" hidden="false" customHeight="true" outlineLevel="0" collapsed="false">
      <c r="A10" s="5" t="s">
        <v>15</v>
      </c>
      <c r="B10" s="6" t="n">
        <f aca="false">COUNTIF('New leads'!E5:E154,"1*")</f>
        <v>64</v>
      </c>
      <c r="C10" s="7" t="s">
        <v>16</v>
      </c>
    </row>
    <row r="11" customFormat="false" ht="15" hidden="false" customHeight="true" outlineLevel="0" collapsed="false">
      <c r="A11" s="5" t="s">
        <v>17</v>
      </c>
      <c r="B11" s="6" t="n">
        <f aca="false">COUNTA(Submitted!B5:B69)</f>
        <v>65</v>
      </c>
      <c r="C11" s="7" t="s">
        <v>18</v>
      </c>
    </row>
    <row r="12" customFormat="false" ht="15" hidden="false" customHeight="true" outlineLevel="0" collapsed="false">
      <c r="A12" s="7" t="s">
        <v>19</v>
      </c>
      <c r="B12" s="6" t="n">
        <f aca="false">COUNTA(Submitted!B35:B69)</f>
        <v>35</v>
      </c>
      <c r="C12" s="7" t="s">
        <v>20</v>
      </c>
    </row>
    <row r="13" customFormat="false" ht="15" hidden="false" customHeight="true" outlineLevel="0" collapsed="false">
      <c r="A13" s="5" t="s">
        <v>21</v>
      </c>
      <c r="B13" s="6" t="n">
        <f aca="false">COUNTA('Has a cover letter field'!A5:A44)</f>
        <v>40</v>
      </c>
      <c r="C13" s="7" t="s">
        <v>22</v>
      </c>
    </row>
    <row r="14" customFormat="false" ht="15" hidden="false" customHeight="true" outlineLevel="0" collapsed="false">
      <c r="A14" s="5" t="s">
        <v>23</v>
      </c>
      <c r="B14" s="6" t="n">
        <f aca="false">COUNTA('Needs you or blocked'!A5:A84)</f>
        <v>80</v>
      </c>
      <c r="C14" s="7" t="s">
        <v>24</v>
      </c>
    </row>
    <row r="15" customFormat="false" ht="18" hidden="false" customHeight="true" outlineLevel="0" collapsed="false">
      <c r="A15" s="7" t="s">
        <v>25</v>
      </c>
      <c r="B15" s="6" t="n">
        <f aca="false">COUNTIF('Needs you or blocked'!C5:C82,"join.com sign-in")+COUNTIF('Needs you or blocked'!C5:C82,"workable domain unreachable")+COUNTIF('Needs you or blocked'!C5:C82,"Indeed apply flow needs him")+COUNTIF('Needs you or blocked'!C5:C82,"CAPTCHA on submit")</f>
        <v>24</v>
      </c>
      <c r="C15" s="7" t="s">
        <v>26</v>
      </c>
    </row>
    <row r="16" customFormat="false" ht="15" hidden="false" customHeight="true" outlineLevel="0" collapsed="false">
      <c r="A16" s="7" t="s">
        <v>27</v>
      </c>
      <c r="B16" s="6" t="n">
        <f aca="false">COUNTIF('Needs you or blocked'!C5:C84,"needs his own words")</f>
        <v>10</v>
      </c>
      <c r="C16" s="7" t="s">
        <v>28</v>
      </c>
    </row>
    <row r="17" customFormat="false" ht="23.25" hidden="false" customHeight="true" outlineLevel="0" collapsed="false">
      <c r="A17" s="7" t="s">
        <v>29</v>
      </c>
      <c r="B17" s="6" t="n">
        <f aca="false">COUNTIF('Needs you or blocked'!C5:C84,"posting removed")</f>
        <v>22</v>
      </c>
      <c r="C17" s="7" t="s">
        <v>24</v>
      </c>
    </row>
    <row r="18" customFormat="false" ht="23.25" hidden="false" customHeight="true" outlineLevel="0" collapsed="false">
      <c r="A18" s="5" t="s">
        <v>30</v>
      </c>
      <c r="B18" s="6" t="n">
        <f aca="false">COUNTA('Outreach targets'!A5:A38)</f>
        <v>34</v>
      </c>
      <c r="C18" s="7" t="s">
        <v>31</v>
      </c>
    </row>
    <row r="19" customFormat="false" ht="23.25" hidden="false" customHeight="true" outlineLevel="0" collapsed="false">
      <c r="A19" s="7" t="s">
        <v>32</v>
      </c>
      <c r="B19" s="6" t="n">
        <f aca="false">COUNTIF('Outreach targets'!D5:D38,"both")</f>
        <v>21</v>
      </c>
      <c r="C19" s="7" t="s">
        <v>33</v>
      </c>
    </row>
    <row r="20" customFormat="false" ht="34.5" hidden="false" customHeight="true" outlineLevel="0" collapsed="false">
      <c r="A20" s="5" t="s">
        <v>34</v>
      </c>
      <c r="B20" s="6" t="n">
        <f aca="false">MAX('New leads'!A5:A154)</f>
        <v>100</v>
      </c>
      <c r="C20" s="7" t="s">
        <v>35</v>
      </c>
    </row>
    <row r="21" customFormat="false" ht="23.25" hidden="false" customHeight="true" outlineLevel="0" collapsed="false">
      <c r="A21" s="5" t="s">
        <v>36</v>
      </c>
      <c r="B21" s="6" t="n">
        <f aca="false">MEDIAN('New leads'!A5:A154)</f>
        <v>76</v>
      </c>
      <c r="C21" s="7" t="s">
        <v>35</v>
      </c>
    </row>
    <row r="22" customFormat="false" ht="23.25" hidden="false" customHeight="true" outlineLevel="0" collapsed="false">
      <c r="A22" s="5" t="s">
        <v>37</v>
      </c>
      <c r="B22" s="6" t="n">
        <f aca="false">MAX('FlowSpace-like platforms'!A5:A24)</f>
        <v>99</v>
      </c>
      <c r="C22" s="7" t="s">
        <v>10</v>
      </c>
    </row>
    <row r="23" customFormat="false" ht="34.5" hidden="false" customHeight="true" outlineLevel="0" collapsed="false">
      <c r="A23" s="8"/>
      <c r="D23" s="9"/>
    </row>
    <row r="24" customFormat="false" ht="23.25" hidden="false" customHeight="true" outlineLevel="0" collapsed="false"/>
    <row r="25" customFormat="false" ht="23.25" hidden="false" customHeight="true" outlineLevel="0" collapsed="false">
      <c r="A25" s="2" t="s">
        <v>38</v>
      </c>
    </row>
    <row r="26" customFormat="false" ht="34.5" hidden="false" customHeight="true" outlineLevel="0" collapsed="false">
      <c r="A26" s="8" t="s">
        <v>39</v>
      </c>
      <c r="D26" s="9" t="s">
        <v>40</v>
      </c>
    </row>
    <row r="27" customFormat="false" ht="23.25" hidden="false" customHeight="true" outlineLevel="0" collapsed="false">
      <c r="A27" s="8" t="s">
        <v>41</v>
      </c>
      <c r="D27" s="9" t="s">
        <v>42</v>
      </c>
    </row>
    <row r="28" customFormat="false" ht="34.5" hidden="false" customHeight="true" outlineLevel="0" collapsed="false">
      <c r="A28" s="8" t="s">
        <v>43</v>
      </c>
      <c r="D28" s="9" t="s">
        <v>44</v>
      </c>
    </row>
    <row r="29" customFormat="false" ht="23.25" hidden="false" customHeight="true" outlineLevel="0" collapsed="false">
      <c r="A29" s="8" t="s">
        <v>45</v>
      </c>
      <c r="D29" s="9" t="s">
        <v>46</v>
      </c>
    </row>
    <row r="30" customFormat="false" ht="34.5" hidden="false" customHeight="true" outlineLevel="0" collapsed="false">
      <c r="A30" s="8" t="s">
        <v>47</v>
      </c>
      <c r="D30" s="9" t="s">
        <v>48</v>
      </c>
    </row>
    <row r="31" customFormat="false" ht="23.25" hidden="false" customHeight="true" outlineLevel="0" collapsed="false">
      <c r="A31" s="8" t="s">
        <v>49</v>
      </c>
      <c r="D31" s="9" t="s">
        <v>50</v>
      </c>
    </row>
    <row r="32" customFormat="false" ht="23.25" hidden="false" customHeight="true" outlineLevel="0" collapsed="false">
      <c r="A32" s="8" t="s">
        <v>51</v>
      </c>
      <c r="D32" s="9" t="s">
        <v>52</v>
      </c>
    </row>
    <row r="33" customFormat="false" ht="57" hidden="false" customHeight="true" outlineLevel="0" collapsed="false">
      <c r="A33" s="8" t="s">
        <v>53</v>
      </c>
      <c r="D33" s="9"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26"/>
    <col collapsed="false" customWidth="true" hidden="false" outlineLevel="0" max="4" min="4" style="1" width="46"/>
    <col collapsed="false" customWidth="true" hidden="false" outlineLevel="0" max="5" min="5" style="1" width="7"/>
    <col collapsed="false" customWidth="true" hidden="false" outlineLevel="0" max="6" min="6" style="1" width="13"/>
    <col collapsed="false" customWidth="true" hidden="false" outlineLevel="0" max="8" min="7" style="1" width="34"/>
    <col collapsed="false" customWidth="true" hidden="false" outlineLevel="0" max="9" min="9" style="1" width="22"/>
    <col collapsed="false" customWidth="true" hidden="false" outlineLevel="0" max="11" min="10" style="1" width="74"/>
    <col collapsed="false" customWidth="true" hidden="false" outlineLevel="0" max="12" min="12" style="1" width="50"/>
    <col collapsed="false" customWidth="true" hidden="false" outlineLevel="0" max="13" min="13" style="1" width="60"/>
  </cols>
  <sheetData>
    <row r="1" customFormat="false" ht="18" hidden="false" customHeight="true" outlineLevel="0" collapsed="false">
      <c r="A1" s="2" t="s">
        <v>55</v>
      </c>
    </row>
    <row r="2" customFormat="false" ht="15" hidden="false" customHeight="true" outlineLevel="0" collapsed="false">
      <c r="A2" s="3" t="s">
        <v>56</v>
      </c>
    </row>
    <row r="4" customFormat="false" ht="30" hidden="false" customHeight="true" outlineLevel="0" collapsed="false">
      <c r="A4" s="4" t="s">
        <v>45</v>
      </c>
      <c r="B4" s="4" t="s">
        <v>57</v>
      </c>
      <c r="C4" s="4" t="s">
        <v>58</v>
      </c>
      <c r="D4" s="4" t="s">
        <v>59</v>
      </c>
      <c r="E4" s="4" t="s">
        <v>60</v>
      </c>
      <c r="F4" s="4" t="s">
        <v>61</v>
      </c>
      <c r="G4" s="4" t="s">
        <v>62</v>
      </c>
      <c r="H4" s="4" t="s">
        <v>63</v>
      </c>
      <c r="I4" s="4" t="s">
        <v>64</v>
      </c>
      <c r="J4" s="4" t="s">
        <v>65</v>
      </c>
      <c r="K4" s="4" t="s">
        <v>66</v>
      </c>
      <c r="L4" s="4" t="s">
        <v>67</v>
      </c>
      <c r="M4" s="4" t="s">
        <v>68</v>
      </c>
    </row>
    <row r="5" customFormat="false" ht="23.25" hidden="false" customHeight="true" outlineLevel="0" collapsed="false">
      <c r="A5" s="10" t="n">
        <v>100</v>
      </c>
      <c r="B5" s="7" t="s">
        <v>69</v>
      </c>
      <c r="C5" s="7" t="s">
        <v>70</v>
      </c>
      <c r="D5" s="7" t="s">
        <v>71</v>
      </c>
      <c r="E5" s="11" t="s">
        <v>72</v>
      </c>
      <c r="F5" s="7" t="s">
        <v>73</v>
      </c>
      <c r="G5" s="7" t="s">
        <v>74</v>
      </c>
      <c r="H5" s="7" t="s">
        <v>75</v>
      </c>
      <c r="I5" s="7" t="s">
        <v>76</v>
      </c>
      <c r="J5" s="7" t="s">
        <v>77</v>
      </c>
      <c r="K5" s="7" t="s">
        <v>78</v>
      </c>
      <c r="L5" s="12" t="s">
        <v>79</v>
      </c>
      <c r="M5" s="7" t="s">
        <v>80</v>
      </c>
    </row>
    <row r="6" customFormat="false" ht="23.25" hidden="false" customHeight="true" outlineLevel="0" collapsed="false">
      <c r="A6" s="10" t="n">
        <v>98</v>
      </c>
      <c r="B6" s="7" t="s">
        <v>81</v>
      </c>
      <c r="C6" s="7" t="s">
        <v>82</v>
      </c>
      <c r="D6" s="7" t="s">
        <v>83</v>
      </c>
      <c r="E6" s="11" t="s">
        <v>72</v>
      </c>
      <c r="F6" s="7" t="s">
        <v>73</v>
      </c>
      <c r="G6" s="7" t="s">
        <v>74</v>
      </c>
      <c r="H6" s="7" t="s">
        <v>84</v>
      </c>
      <c r="I6" s="7" t="s">
        <v>85</v>
      </c>
      <c r="J6" s="7" t="s">
        <v>86</v>
      </c>
      <c r="K6" s="7" t="s">
        <v>87</v>
      </c>
      <c r="L6" s="12" t="s">
        <v>88</v>
      </c>
      <c r="M6" s="7" t="s">
        <v>89</v>
      </c>
    </row>
    <row r="7" customFormat="false" ht="34.5" hidden="false" customHeight="true" outlineLevel="0" collapsed="false">
      <c r="A7" s="10" t="n">
        <v>98</v>
      </c>
      <c r="B7" s="7" t="s">
        <v>90</v>
      </c>
      <c r="C7" s="7" t="s">
        <v>91</v>
      </c>
      <c r="D7" s="7" t="s">
        <v>71</v>
      </c>
      <c r="E7" s="11" t="s">
        <v>72</v>
      </c>
      <c r="F7" s="7" t="s">
        <v>73</v>
      </c>
      <c r="G7" s="7" t="s">
        <v>74</v>
      </c>
      <c r="H7" s="7" t="s">
        <v>92</v>
      </c>
      <c r="I7" s="7" t="s">
        <v>93</v>
      </c>
      <c r="J7" s="7" t="s">
        <v>94</v>
      </c>
      <c r="K7" s="7" t="s">
        <v>95</v>
      </c>
      <c r="L7" s="12" t="s">
        <v>96</v>
      </c>
      <c r="M7" s="7" t="s">
        <v>97</v>
      </c>
    </row>
    <row r="8" customFormat="false" ht="34.5" hidden="false" customHeight="true" outlineLevel="0" collapsed="false">
      <c r="A8" s="10" t="n">
        <v>96</v>
      </c>
      <c r="B8" s="7" t="s">
        <v>98</v>
      </c>
      <c r="C8" s="7" t="s">
        <v>99</v>
      </c>
      <c r="D8" s="7" t="s">
        <v>100</v>
      </c>
      <c r="E8" s="11" t="s">
        <v>72</v>
      </c>
      <c r="F8" s="7" t="s">
        <v>101</v>
      </c>
      <c r="G8" s="7" t="s">
        <v>74</v>
      </c>
      <c r="H8" s="7" t="s">
        <v>102</v>
      </c>
      <c r="I8" s="7" t="s">
        <v>103</v>
      </c>
      <c r="J8" s="7" t="s">
        <v>104</v>
      </c>
      <c r="K8" s="7" t="s">
        <v>105</v>
      </c>
      <c r="L8" s="12" t="s">
        <v>106</v>
      </c>
      <c r="M8" s="7" t="s">
        <v>107</v>
      </c>
    </row>
    <row r="9" customFormat="false" ht="34.5" hidden="false" customHeight="true" outlineLevel="0" collapsed="false">
      <c r="A9" s="10" t="n">
        <v>95</v>
      </c>
      <c r="B9" s="7" t="s">
        <v>108</v>
      </c>
      <c r="C9" s="7" t="s">
        <v>109</v>
      </c>
      <c r="D9" s="7" t="s">
        <v>110</v>
      </c>
      <c r="E9" s="11" t="s">
        <v>72</v>
      </c>
      <c r="F9" s="7" t="s">
        <v>73</v>
      </c>
      <c r="G9" s="7" t="s">
        <v>111</v>
      </c>
      <c r="H9" s="7" t="s">
        <v>112</v>
      </c>
      <c r="I9" s="7" t="s">
        <v>113</v>
      </c>
      <c r="J9" s="7" t="s">
        <v>114</v>
      </c>
      <c r="K9" s="7" t="s">
        <v>115</v>
      </c>
      <c r="L9" s="12" t="s">
        <v>116</v>
      </c>
      <c r="M9" s="7" t="s">
        <v>117</v>
      </c>
    </row>
    <row r="10" customFormat="false" ht="34.5" hidden="false" customHeight="true" outlineLevel="0" collapsed="false">
      <c r="A10" s="10" t="n">
        <v>94</v>
      </c>
      <c r="B10" s="7" t="s">
        <v>118</v>
      </c>
      <c r="C10" s="7" t="s">
        <v>119</v>
      </c>
      <c r="D10" s="7" t="s">
        <v>71</v>
      </c>
      <c r="E10" s="11" t="s">
        <v>72</v>
      </c>
      <c r="F10" s="7" t="s">
        <v>73</v>
      </c>
      <c r="G10" s="7" t="s">
        <v>74</v>
      </c>
      <c r="H10" s="7" t="s">
        <v>75</v>
      </c>
      <c r="I10" s="7" t="s">
        <v>120</v>
      </c>
      <c r="J10" s="7" t="s">
        <v>121</v>
      </c>
      <c r="K10" s="7" t="s">
        <v>122</v>
      </c>
      <c r="L10" s="12" t="s">
        <v>123</v>
      </c>
      <c r="M10" s="7" t="s">
        <v>124</v>
      </c>
    </row>
    <row r="11" customFormat="false" ht="45.75" hidden="false" customHeight="true" outlineLevel="0" collapsed="false">
      <c r="A11" s="10" t="n">
        <v>93</v>
      </c>
      <c r="B11" s="7" t="s">
        <v>125</v>
      </c>
      <c r="C11" s="7" t="s">
        <v>126</v>
      </c>
      <c r="D11" s="7" t="s">
        <v>127</v>
      </c>
      <c r="E11" s="11" t="s">
        <v>72</v>
      </c>
      <c r="F11" s="7" t="s">
        <v>73</v>
      </c>
      <c r="G11" s="7" t="s">
        <v>74</v>
      </c>
      <c r="H11" s="7" t="s">
        <v>128</v>
      </c>
      <c r="I11" s="7" t="s">
        <v>120</v>
      </c>
      <c r="J11" s="7" t="s">
        <v>129</v>
      </c>
      <c r="K11" s="7" t="s">
        <v>130</v>
      </c>
      <c r="L11" s="12" t="s">
        <v>131</v>
      </c>
      <c r="M11" s="7" t="s">
        <v>132</v>
      </c>
    </row>
    <row r="12" customFormat="false" ht="45.75" hidden="false" customHeight="true" outlineLevel="0" collapsed="false">
      <c r="A12" s="10" t="n">
        <v>91</v>
      </c>
      <c r="B12" s="7" t="s">
        <v>133</v>
      </c>
      <c r="C12" s="7" t="s">
        <v>134</v>
      </c>
      <c r="D12" s="7" t="s">
        <v>135</v>
      </c>
      <c r="E12" s="11" t="s">
        <v>72</v>
      </c>
      <c r="F12" s="7" t="s">
        <v>136</v>
      </c>
      <c r="G12" s="7" t="s">
        <v>137</v>
      </c>
      <c r="H12" s="7" t="s">
        <v>102</v>
      </c>
      <c r="I12" s="7" t="s">
        <v>138</v>
      </c>
      <c r="J12" s="7" t="s">
        <v>139</v>
      </c>
      <c r="K12" s="7" t="s">
        <v>140</v>
      </c>
      <c r="L12" s="12" t="s">
        <v>141</v>
      </c>
      <c r="M12" s="7" t="s">
        <v>142</v>
      </c>
    </row>
    <row r="13" customFormat="false" ht="23.25" hidden="false" customHeight="true" outlineLevel="0" collapsed="false">
      <c r="A13" s="10" t="n">
        <v>90</v>
      </c>
      <c r="B13" s="7" t="s">
        <v>143</v>
      </c>
      <c r="C13" s="7" t="s">
        <v>144</v>
      </c>
      <c r="D13" s="7" t="s">
        <v>145</v>
      </c>
      <c r="E13" s="11" t="s">
        <v>72</v>
      </c>
      <c r="F13" s="7" t="s">
        <v>73</v>
      </c>
      <c r="G13" s="7" t="s">
        <v>146</v>
      </c>
      <c r="H13" s="7" t="s">
        <v>112</v>
      </c>
      <c r="I13" s="7" t="s">
        <v>147</v>
      </c>
      <c r="J13" s="7" t="s">
        <v>148</v>
      </c>
      <c r="K13" s="7" t="s">
        <v>149</v>
      </c>
      <c r="L13" s="12" t="s">
        <v>150</v>
      </c>
      <c r="M13" s="7" t="s">
        <v>151</v>
      </c>
    </row>
    <row r="14" customFormat="false" ht="23.25" hidden="false" customHeight="true" outlineLevel="0" collapsed="false">
      <c r="A14" s="13" t="n">
        <v>90</v>
      </c>
      <c r="B14" s="7" t="s">
        <v>152</v>
      </c>
      <c r="C14" s="7" t="s">
        <v>153</v>
      </c>
      <c r="D14" s="7" t="s">
        <v>154</v>
      </c>
      <c r="E14" s="14" t="s">
        <v>155</v>
      </c>
      <c r="F14" s="7" t="s">
        <v>136</v>
      </c>
      <c r="G14" s="7" t="s">
        <v>156</v>
      </c>
      <c r="H14" s="7" t="s">
        <v>102</v>
      </c>
      <c r="I14" s="7" t="s">
        <v>102</v>
      </c>
      <c r="J14" s="7" t="s">
        <v>157</v>
      </c>
      <c r="K14" s="7" t="s">
        <v>158</v>
      </c>
      <c r="L14" s="12" t="s">
        <v>159</v>
      </c>
      <c r="M14" s="7" t="s">
        <v>160</v>
      </c>
    </row>
    <row r="15" customFormat="false" ht="34.5" hidden="false" customHeight="true" outlineLevel="0" collapsed="false">
      <c r="A15" s="10" t="n">
        <v>88</v>
      </c>
      <c r="B15" s="7" t="s">
        <v>161</v>
      </c>
      <c r="C15" s="7" t="s">
        <v>162</v>
      </c>
      <c r="D15" s="7" t="s">
        <v>163</v>
      </c>
      <c r="E15" s="11" t="s">
        <v>72</v>
      </c>
      <c r="F15" s="7" t="s">
        <v>73</v>
      </c>
      <c r="G15" s="7" t="s">
        <v>164</v>
      </c>
      <c r="H15" s="7" t="s">
        <v>165</v>
      </c>
      <c r="I15" s="7" t="s">
        <v>120</v>
      </c>
      <c r="J15" s="7" t="s">
        <v>166</v>
      </c>
      <c r="K15" s="7" t="s">
        <v>167</v>
      </c>
      <c r="L15" s="12" t="s">
        <v>168</v>
      </c>
      <c r="M15" s="7" t="s">
        <v>169</v>
      </c>
    </row>
    <row r="16" customFormat="false" ht="34.5" hidden="false" customHeight="true" outlineLevel="0" collapsed="false">
      <c r="A16" s="13" t="n">
        <v>88</v>
      </c>
      <c r="B16" s="7" t="s">
        <v>170</v>
      </c>
      <c r="C16" s="7" t="s">
        <v>171</v>
      </c>
      <c r="D16" s="7" t="s">
        <v>172</v>
      </c>
      <c r="E16" s="14" t="s">
        <v>155</v>
      </c>
      <c r="F16" s="7" t="s">
        <v>173</v>
      </c>
      <c r="G16" s="7" t="s">
        <v>173</v>
      </c>
      <c r="H16" s="7" t="s">
        <v>173</v>
      </c>
      <c r="I16" s="7" t="s">
        <v>174</v>
      </c>
      <c r="J16" s="7" t="s">
        <v>172</v>
      </c>
      <c r="K16" s="7" t="s">
        <v>172</v>
      </c>
      <c r="L16" s="12" t="s">
        <v>175</v>
      </c>
      <c r="M16" s="7" t="s">
        <v>176</v>
      </c>
    </row>
    <row r="17" customFormat="false" ht="23.25" hidden="false" customHeight="true" outlineLevel="0" collapsed="false">
      <c r="A17" s="13" t="n">
        <v>87</v>
      </c>
      <c r="B17" s="7" t="s">
        <v>177</v>
      </c>
      <c r="C17" s="7" t="s">
        <v>178</v>
      </c>
      <c r="D17" s="7" t="s">
        <v>179</v>
      </c>
      <c r="E17" s="14" t="s">
        <v>155</v>
      </c>
      <c r="F17" s="7" t="s">
        <v>136</v>
      </c>
      <c r="G17" s="7" t="s">
        <v>180</v>
      </c>
      <c r="H17" s="7" t="s">
        <v>102</v>
      </c>
      <c r="I17" s="7" t="s">
        <v>181</v>
      </c>
      <c r="J17" s="7" t="s">
        <v>182</v>
      </c>
      <c r="K17" s="7" t="s">
        <v>183</v>
      </c>
      <c r="L17" s="12" t="s">
        <v>184</v>
      </c>
      <c r="M17" s="7" t="s">
        <v>185</v>
      </c>
    </row>
    <row r="18" customFormat="false" ht="23.25" hidden="false" customHeight="true" outlineLevel="0" collapsed="false">
      <c r="A18" s="13" t="n">
        <v>87</v>
      </c>
      <c r="B18" s="7" t="s">
        <v>177</v>
      </c>
      <c r="C18" s="7" t="s">
        <v>186</v>
      </c>
      <c r="D18" s="7" t="s">
        <v>187</v>
      </c>
      <c r="E18" s="14" t="s">
        <v>155</v>
      </c>
      <c r="F18" s="7" t="s">
        <v>136</v>
      </c>
      <c r="G18" s="7" t="s">
        <v>180</v>
      </c>
      <c r="H18" s="7" t="s">
        <v>102</v>
      </c>
      <c r="I18" s="7" t="s">
        <v>188</v>
      </c>
      <c r="J18" s="7" t="s">
        <v>189</v>
      </c>
      <c r="K18" s="7" t="s">
        <v>190</v>
      </c>
      <c r="L18" s="12" t="s">
        <v>191</v>
      </c>
      <c r="M18" s="7" t="s">
        <v>192</v>
      </c>
    </row>
    <row r="19" customFormat="false" ht="34.5" hidden="false" customHeight="true" outlineLevel="0" collapsed="false">
      <c r="A19" s="13" t="n">
        <v>87</v>
      </c>
      <c r="B19" s="7" t="s">
        <v>177</v>
      </c>
      <c r="C19" s="7" t="s">
        <v>193</v>
      </c>
      <c r="D19" s="7" t="s">
        <v>194</v>
      </c>
      <c r="E19" s="14" t="s">
        <v>155</v>
      </c>
      <c r="F19" s="7" t="s">
        <v>136</v>
      </c>
      <c r="G19" s="7" t="s">
        <v>180</v>
      </c>
      <c r="H19" s="7" t="s">
        <v>102</v>
      </c>
      <c r="I19" s="7" t="s">
        <v>195</v>
      </c>
      <c r="J19" s="7" t="s">
        <v>196</v>
      </c>
      <c r="K19" s="7" t="s">
        <v>197</v>
      </c>
      <c r="L19" s="12" t="s">
        <v>198</v>
      </c>
      <c r="M19" s="7" t="s">
        <v>199</v>
      </c>
    </row>
    <row r="20" customFormat="false" ht="45.75" hidden="false" customHeight="true" outlineLevel="0" collapsed="false">
      <c r="A20" s="10" t="n">
        <v>87</v>
      </c>
      <c r="B20" s="7" t="s">
        <v>200</v>
      </c>
      <c r="C20" s="7" t="s">
        <v>201</v>
      </c>
      <c r="D20" s="7" t="s">
        <v>202</v>
      </c>
      <c r="E20" s="11" t="s">
        <v>72</v>
      </c>
      <c r="F20" s="7" t="s">
        <v>136</v>
      </c>
      <c r="G20" s="7" t="s">
        <v>102</v>
      </c>
      <c r="H20" s="7" t="s">
        <v>102</v>
      </c>
      <c r="I20" s="7" t="s">
        <v>203</v>
      </c>
      <c r="J20" s="7" t="s">
        <v>204</v>
      </c>
      <c r="K20" s="7" t="s">
        <v>205</v>
      </c>
      <c r="L20" s="12" t="s">
        <v>206</v>
      </c>
      <c r="M20" s="7" t="s">
        <v>207</v>
      </c>
    </row>
    <row r="21" customFormat="false" ht="23.25" hidden="false" customHeight="true" outlineLevel="0" collapsed="false">
      <c r="A21" s="13" t="n">
        <v>87</v>
      </c>
      <c r="B21" s="7" t="s">
        <v>208</v>
      </c>
      <c r="C21" s="7" t="s">
        <v>209</v>
      </c>
      <c r="D21" s="7" t="s">
        <v>210</v>
      </c>
      <c r="E21" s="14" t="s">
        <v>155</v>
      </c>
      <c r="F21" s="7" t="s">
        <v>136</v>
      </c>
      <c r="G21" s="7" t="s">
        <v>211</v>
      </c>
      <c r="H21" s="7" t="s">
        <v>212</v>
      </c>
      <c r="I21" s="7" t="s">
        <v>213</v>
      </c>
      <c r="J21" s="7" t="s">
        <v>214</v>
      </c>
      <c r="K21" s="7" t="s">
        <v>215</v>
      </c>
      <c r="L21" s="12" t="s">
        <v>216</v>
      </c>
      <c r="M21" s="7" t="s">
        <v>217</v>
      </c>
    </row>
    <row r="22" customFormat="false" ht="34.5" hidden="false" customHeight="true" outlineLevel="0" collapsed="false">
      <c r="A22" s="13" t="n">
        <v>87</v>
      </c>
      <c r="B22" s="7" t="s">
        <v>218</v>
      </c>
      <c r="C22" s="7" t="s">
        <v>219</v>
      </c>
      <c r="D22" s="7" t="s">
        <v>220</v>
      </c>
      <c r="E22" s="14" t="s">
        <v>155</v>
      </c>
      <c r="F22" s="7" t="s">
        <v>136</v>
      </c>
      <c r="G22" s="7" t="s">
        <v>221</v>
      </c>
      <c r="H22" s="7" t="s">
        <v>222</v>
      </c>
      <c r="I22" s="7" t="s">
        <v>102</v>
      </c>
      <c r="J22" s="7" t="s">
        <v>223</v>
      </c>
      <c r="K22" s="7" t="s">
        <v>224</v>
      </c>
      <c r="L22" s="12" t="s">
        <v>225</v>
      </c>
      <c r="M22" s="7" t="s">
        <v>226</v>
      </c>
    </row>
    <row r="23" customFormat="false" ht="23.25" hidden="false" customHeight="true" outlineLevel="0" collapsed="false">
      <c r="A23" s="10" t="n">
        <v>87</v>
      </c>
      <c r="B23" s="7" t="s">
        <v>227</v>
      </c>
      <c r="C23" s="7" t="s">
        <v>228</v>
      </c>
      <c r="D23" s="7" t="s">
        <v>172</v>
      </c>
      <c r="E23" s="11" t="s">
        <v>72</v>
      </c>
      <c r="F23" s="7" t="s">
        <v>173</v>
      </c>
      <c r="G23" s="7" t="s">
        <v>173</v>
      </c>
      <c r="H23" s="7" t="s">
        <v>173</v>
      </c>
      <c r="I23" s="7" t="s">
        <v>174</v>
      </c>
      <c r="J23" s="7" t="s">
        <v>172</v>
      </c>
      <c r="K23" s="7" t="s">
        <v>172</v>
      </c>
      <c r="L23" s="12" t="s">
        <v>229</v>
      </c>
      <c r="M23" s="7" t="s">
        <v>176</v>
      </c>
    </row>
    <row r="24" customFormat="false" ht="23.25" hidden="false" customHeight="true" outlineLevel="0" collapsed="false">
      <c r="A24" s="10" t="n">
        <v>86</v>
      </c>
      <c r="B24" s="7" t="s">
        <v>230</v>
      </c>
      <c r="C24" s="7" t="s">
        <v>231</v>
      </c>
      <c r="D24" s="7" t="s">
        <v>172</v>
      </c>
      <c r="E24" s="11" t="s">
        <v>72</v>
      </c>
      <c r="F24" s="7" t="s">
        <v>173</v>
      </c>
      <c r="G24" s="7" t="s">
        <v>173</v>
      </c>
      <c r="H24" s="7" t="s">
        <v>173</v>
      </c>
      <c r="I24" s="7" t="s">
        <v>174</v>
      </c>
      <c r="J24" s="7" t="s">
        <v>172</v>
      </c>
      <c r="K24" s="7" t="s">
        <v>172</v>
      </c>
      <c r="L24" s="12" t="s">
        <v>232</v>
      </c>
      <c r="M24" s="7" t="s">
        <v>176</v>
      </c>
    </row>
    <row r="25" customFormat="false" ht="23.25" hidden="false" customHeight="true" outlineLevel="0" collapsed="false">
      <c r="A25" s="13" t="n">
        <v>85</v>
      </c>
      <c r="B25" s="7" t="s">
        <v>233</v>
      </c>
      <c r="C25" s="7" t="s">
        <v>234</v>
      </c>
      <c r="D25" s="7" t="s">
        <v>179</v>
      </c>
      <c r="E25" s="14" t="s">
        <v>155</v>
      </c>
      <c r="F25" s="7" t="s">
        <v>136</v>
      </c>
      <c r="G25" s="7" t="s">
        <v>235</v>
      </c>
      <c r="H25" s="7" t="s">
        <v>102</v>
      </c>
      <c r="I25" s="7" t="s">
        <v>236</v>
      </c>
      <c r="J25" s="7" t="s">
        <v>237</v>
      </c>
      <c r="K25" s="7" t="s">
        <v>238</v>
      </c>
      <c r="L25" s="12" t="s">
        <v>239</v>
      </c>
      <c r="M25" s="7" t="s">
        <v>240</v>
      </c>
    </row>
    <row r="26" customFormat="false" ht="23.25" hidden="false" customHeight="true" outlineLevel="0" collapsed="false">
      <c r="A26" s="13" t="n">
        <v>85</v>
      </c>
      <c r="B26" s="7" t="s">
        <v>233</v>
      </c>
      <c r="C26" s="7" t="s">
        <v>241</v>
      </c>
      <c r="D26" s="7" t="s">
        <v>187</v>
      </c>
      <c r="E26" s="14" t="s">
        <v>155</v>
      </c>
      <c r="F26" s="7" t="s">
        <v>136</v>
      </c>
      <c r="G26" s="7" t="s">
        <v>235</v>
      </c>
      <c r="H26" s="7" t="s">
        <v>102</v>
      </c>
      <c r="I26" s="7" t="s">
        <v>195</v>
      </c>
      <c r="J26" s="7" t="s">
        <v>242</v>
      </c>
      <c r="K26" s="7" t="s">
        <v>243</v>
      </c>
      <c r="L26" s="12" t="s">
        <v>244</v>
      </c>
      <c r="M26" s="7" t="s">
        <v>245</v>
      </c>
    </row>
    <row r="27" customFormat="false" ht="23.25" hidden="false" customHeight="true" outlineLevel="0" collapsed="false">
      <c r="A27" s="13" t="n">
        <v>85</v>
      </c>
      <c r="B27" s="7" t="s">
        <v>246</v>
      </c>
      <c r="C27" s="7" t="s">
        <v>247</v>
      </c>
      <c r="D27" s="7" t="s">
        <v>248</v>
      </c>
      <c r="E27" s="14" t="s">
        <v>155</v>
      </c>
      <c r="F27" s="7" t="s">
        <v>73</v>
      </c>
      <c r="G27" s="7" t="s">
        <v>74</v>
      </c>
      <c r="H27" s="7" t="s">
        <v>249</v>
      </c>
      <c r="I27" s="7" t="s">
        <v>250</v>
      </c>
      <c r="J27" s="7" t="s">
        <v>251</v>
      </c>
      <c r="K27" s="7" t="s">
        <v>252</v>
      </c>
      <c r="L27" s="12" t="s">
        <v>253</v>
      </c>
      <c r="M27" s="7" t="s">
        <v>254</v>
      </c>
    </row>
    <row r="28" customFormat="false" ht="23.25" hidden="false" customHeight="true" outlineLevel="0" collapsed="false">
      <c r="A28" s="13" t="n">
        <v>85</v>
      </c>
      <c r="B28" s="7" t="s">
        <v>255</v>
      </c>
      <c r="C28" s="7" t="s">
        <v>256</v>
      </c>
      <c r="D28" s="7" t="s">
        <v>257</v>
      </c>
      <c r="E28" s="14" t="s">
        <v>155</v>
      </c>
      <c r="F28" s="7" t="s">
        <v>101</v>
      </c>
      <c r="G28" s="7" t="s">
        <v>74</v>
      </c>
      <c r="H28" s="7" t="s">
        <v>258</v>
      </c>
      <c r="I28" s="7" t="s">
        <v>259</v>
      </c>
      <c r="J28" s="7" t="s">
        <v>260</v>
      </c>
      <c r="K28" s="7" t="s">
        <v>261</v>
      </c>
      <c r="L28" s="12" t="s">
        <v>262</v>
      </c>
      <c r="M28" s="7" t="s">
        <v>263</v>
      </c>
    </row>
    <row r="29" customFormat="false" ht="23.25" hidden="false" customHeight="true" outlineLevel="0" collapsed="false">
      <c r="A29" s="10" t="n">
        <v>85</v>
      </c>
      <c r="B29" s="7" t="s">
        <v>264</v>
      </c>
      <c r="C29" s="7" t="s">
        <v>265</v>
      </c>
      <c r="D29" s="7" t="s">
        <v>266</v>
      </c>
      <c r="E29" s="11" t="s">
        <v>72</v>
      </c>
      <c r="F29" s="7" t="s">
        <v>136</v>
      </c>
      <c r="G29" s="7" t="s">
        <v>102</v>
      </c>
      <c r="H29" s="7" t="s">
        <v>102</v>
      </c>
      <c r="I29" s="7" t="s">
        <v>267</v>
      </c>
      <c r="J29" s="7" t="s">
        <v>268</v>
      </c>
      <c r="K29" s="7" t="s">
        <v>269</v>
      </c>
      <c r="L29" s="12" t="s">
        <v>270</v>
      </c>
      <c r="M29" s="7" t="s">
        <v>271</v>
      </c>
    </row>
    <row r="30" customFormat="false" ht="45.75" hidden="false" customHeight="true" outlineLevel="0" collapsed="false">
      <c r="A30" s="13" t="n">
        <v>85</v>
      </c>
      <c r="B30" s="7" t="s">
        <v>272</v>
      </c>
      <c r="C30" s="7" t="s">
        <v>273</v>
      </c>
      <c r="D30" s="7" t="s">
        <v>274</v>
      </c>
      <c r="E30" s="14" t="s">
        <v>155</v>
      </c>
      <c r="F30" s="7" t="s">
        <v>136</v>
      </c>
      <c r="G30" s="7" t="s">
        <v>221</v>
      </c>
      <c r="H30" s="7" t="s">
        <v>222</v>
      </c>
      <c r="I30" s="7" t="s">
        <v>102</v>
      </c>
      <c r="J30" s="7" t="s">
        <v>275</v>
      </c>
      <c r="K30" s="7" t="s">
        <v>276</v>
      </c>
      <c r="L30" s="12" t="s">
        <v>277</v>
      </c>
      <c r="M30" s="7" t="s">
        <v>278</v>
      </c>
    </row>
    <row r="31" customFormat="false" ht="23.25" hidden="false" customHeight="true" outlineLevel="0" collapsed="false">
      <c r="A31" s="10" t="n">
        <v>84</v>
      </c>
      <c r="B31" s="7" t="s">
        <v>279</v>
      </c>
      <c r="C31" s="7" t="s">
        <v>280</v>
      </c>
      <c r="D31" s="7" t="s">
        <v>281</v>
      </c>
      <c r="E31" s="11" t="s">
        <v>72</v>
      </c>
      <c r="F31" s="7" t="s">
        <v>136</v>
      </c>
      <c r="G31" s="7" t="s">
        <v>282</v>
      </c>
      <c r="H31" s="7" t="s">
        <v>283</v>
      </c>
      <c r="I31" s="7" t="s">
        <v>284</v>
      </c>
      <c r="J31" s="7" t="s">
        <v>285</v>
      </c>
      <c r="K31" s="7" t="s">
        <v>286</v>
      </c>
      <c r="L31" s="12" t="s">
        <v>287</v>
      </c>
      <c r="M31" s="7" t="s">
        <v>288</v>
      </c>
    </row>
    <row r="32" customFormat="false" ht="34.5" hidden="false" customHeight="true" outlineLevel="0" collapsed="false">
      <c r="A32" s="10" t="n">
        <v>84</v>
      </c>
      <c r="B32" s="7" t="s">
        <v>289</v>
      </c>
      <c r="C32" s="7" t="s">
        <v>290</v>
      </c>
      <c r="D32" s="7" t="s">
        <v>291</v>
      </c>
      <c r="E32" s="11" t="s">
        <v>72</v>
      </c>
      <c r="F32" s="7" t="s">
        <v>101</v>
      </c>
      <c r="G32" s="7" t="s">
        <v>74</v>
      </c>
      <c r="H32" s="7" t="s">
        <v>102</v>
      </c>
      <c r="I32" s="7" t="s">
        <v>292</v>
      </c>
      <c r="J32" s="7" t="s">
        <v>293</v>
      </c>
      <c r="K32" s="7" t="s">
        <v>294</v>
      </c>
      <c r="L32" s="12" t="s">
        <v>295</v>
      </c>
      <c r="M32" s="7" t="s">
        <v>296</v>
      </c>
    </row>
    <row r="33" customFormat="false" ht="34.5" hidden="false" customHeight="true" outlineLevel="0" collapsed="false">
      <c r="A33" s="10" t="n">
        <v>84</v>
      </c>
      <c r="B33" s="7" t="s">
        <v>297</v>
      </c>
      <c r="C33" s="7" t="s">
        <v>298</v>
      </c>
      <c r="D33" s="7" t="s">
        <v>299</v>
      </c>
      <c r="E33" s="11" t="s">
        <v>72</v>
      </c>
      <c r="F33" s="7" t="s">
        <v>136</v>
      </c>
      <c r="G33" s="7" t="s">
        <v>300</v>
      </c>
      <c r="H33" s="7" t="s">
        <v>102</v>
      </c>
      <c r="I33" s="7" t="s">
        <v>301</v>
      </c>
      <c r="J33" s="7" t="s">
        <v>302</v>
      </c>
      <c r="K33" s="7" t="s">
        <v>303</v>
      </c>
      <c r="L33" s="12" t="s">
        <v>304</v>
      </c>
      <c r="M33" s="7" t="s">
        <v>305</v>
      </c>
    </row>
    <row r="34" customFormat="false" ht="57" hidden="false" customHeight="true" outlineLevel="0" collapsed="false">
      <c r="A34" s="13" t="n">
        <v>84</v>
      </c>
      <c r="B34" s="7" t="s">
        <v>306</v>
      </c>
      <c r="C34" s="7" t="s">
        <v>307</v>
      </c>
      <c r="D34" s="7" t="s">
        <v>308</v>
      </c>
      <c r="E34" s="14" t="s">
        <v>155</v>
      </c>
      <c r="F34" s="7" t="s">
        <v>136</v>
      </c>
      <c r="G34" s="7" t="s">
        <v>309</v>
      </c>
      <c r="H34" s="7" t="s">
        <v>102</v>
      </c>
      <c r="I34" s="7" t="s">
        <v>102</v>
      </c>
      <c r="J34" s="7" t="s">
        <v>310</v>
      </c>
      <c r="K34" s="7" t="s">
        <v>311</v>
      </c>
      <c r="L34" s="12" t="s">
        <v>312</v>
      </c>
      <c r="M34" s="7" t="s">
        <v>313</v>
      </c>
    </row>
    <row r="35" customFormat="false" ht="23.25" hidden="false" customHeight="true" outlineLevel="0" collapsed="false">
      <c r="A35" s="13" t="n">
        <v>84</v>
      </c>
      <c r="B35" s="7" t="s">
        <v>314</v>
      </c>
      <c r="C35" s="7" t="s">
        <v>315</v>
      </c>
      <c r="D35" s="7" t="s">
        <v>172</v>
      </c>
      <c r="E35" s="14" t="s">
        <v>155</v>
      </c>
      <c r="F35" s="7" t="s">
        <v>173</v>
      </c>
      <c r="G35" s="7" t="s">
        <v>173</v>
      </c>
      <c r="H35" s="7" t="s">
        <v>173</v>
      </c>
      <c r="I35" s="7" t="s">
        <v>174</v>
      </c>
      <c r="J35" s="7" t="s">
        <v>172</v>
      </c>
      <c r="K35" s="7" t="s">
        <v>172</v>
      </c>
      <c r="L35" s="12" t="s">
        <v>316</v>
      </c>
      <c r="M35" s="7" t="s">
        <v>176</v>
      </c>
    </row>
    <row r="36" customFormat="false" ht="23.25" hidden="false" customHeight="true" outlineLevel="0" collapsed="false">
      <c r="A36" s="13" t="n">
        <v>83</v>
      </c>
      <c r="B36" s="7" t="s">
        <v>233</v>
      </c>
      <c r="C36" s="7" t="s">
        <v>317</v>
      </c>
      <c r="D36" s="7" t="s">
        <v>318</v>
      </c>
      <c r="E36" s="14" t="s">
        <v>155</v>
      </c>
      <c r="F36" s="7" t="s">
        <v>136</v>
      </c>
      <c r="G36" s="7" t="s">
        <v>235</v>
      </c>
      <c r="H36" s="7" t="s">
        <v>102</v>
      </c>
      <c r="I36" s="7" t="s">
        <v>236</v>
      </c>
      <c r="J36" s="7" t="s">
        <v>319</v>
      </c>
      <c r="K36" s="7" t="s">
        <v>320</v>
      </c>
      <c r="L36" s="12" t="s">
        <v>321</v>
      </c>
      <c r="M36" s="7" t="s">
        <v>322</v>
      </c>
    </row>
    <row r="37" customFormat="false" ht="45.75" hidden="false" customHeight="true" outlineLevel="0" collapsed="false">
      <c r="A37" s="10" t="n">
        <v>83</v>
      </c>
      <c r="B37" s="7" t="s">
        <v>323</v>
      </c>
      <c r="C37" s="7" t="s">
        <v>324</v>
      </c>
      <c r="D37" s="7" t="s">
        <v>325</v>
      </c>
      <c r="E37" s="11" t="s">
        <v>72</v>
      </c>
      <c r="F37" s="7" t="s">
        <v>136</v>
      </c>
      <c r="G37" s="7" t="s">
        <v>326</v>
      </c>
      <c r="H37" s="7" t="s">
        <v>102</v>
      </c>
      <c r="I37" s="7" t="s">
        <v>327</v>
      </c>
      <c r="J37" s="7" t="s">
        <v>328</v>
      </c>
      <c r="K37" s="7" t="s">
        <v>329</v>
      </c>
      <c r="L37" s="12" t="s">
        <v>330</v>
      </c>
      <c r="M37" s="7" t="s">
        <v>331</v>
      </c>
    </row>
    <row r="38" customFormat="false" ht="23.25" hidden="false" customHeight="true" outlineLevel="0" collapsed="false">
      <c r="A38" s="13" t="n">
        <v>83</v>
      </c>
      <c r="B38" s="7" t="s">
        <v>332</v>
      </c>
      <c r="C38" s="7" t="s">
        <v>333</v>
      </c>
      <c r="D38" s="7" t="s">
        <v>334</v>
      </c>
      <c r="E38" s="14" t="s">
        <v>155</v>
      </c>
      <c r="F38" s="7" t="s">
        <v>136</v>
      </c>
      <c r="G38" s="7" t="s">
        <v>335</v>
      </c>
      <c r="H38" s="7" t="s">
        <v>336</v>
      </c>
      <c r="I38" s="7" t="s">
        <v>337</v>
      </c>
      <c r="J38" s="7" t="s">
        <v>338</v>
      </c>
      <c r="K38" s="7" t="s">
        <v>339</v>
      </c>
      <c r="L38" s="12" t="s">
        <v>340</v>
      </c>
      <c r="M38" s="7" t="s">
        <v>341</v>
      </c>
    </row>
    <row r="39" customFormat="false" ht="23.25" hidden="false" customHeight="true" outlineLevel="0" collapsed="false">
      <c r="A39" s="10" t="n">
        <v>83</v>
      </c>
      <c r="B39" s="7" t="s">
        <v>342</v>
      </c>
      <c r="C39" s="7" t="s">
        <v>343</v>
      </c>
      <c r="D39" s="7" t="s">
        <v>172</v>
      </c>
      <c r="E39" s="11" t="s">
        <v>72</v>
      </c>
      <c r="F39" s="7" t="s">
        <v>173</v>
      </c>
      <c r="G39" s="7" t="s">
        <v>173</v>
      </c>
      <c r="H39" s="7" t="s">
        <v>173</v>
      </c>
      <c r="I39" s="7" t="s">
        <v>174</v>
      </c>
      <c r="J39" s="7" t="s">
        <v>172</v>
      </c>
      <c r="K39" s="7" t="s">
        <v>172</v>
      </c>
      <c r="L39" s="12" t="s">
        <v>344</v>
      </c>
      <c r="M39" s="7" t="s">
        <v>176</v>
      </c>
    </row>
    <row r="40" customFormat="false" ht="23.25" hidden="false" customHeight="true" outlineLevel="0" collapsed="false">
      <c r="A40" s="10" t="n">
        <v>83</v>
      </c>
      <c r="B40" s="7" t="s">
        <v>345</v>
      </c>
      <c r="C40" s="7" t="s">
        <v>346</v>
      </c>
      <c r="D40" s="7" t="s">
        <v>172</v>
      </c>
      <c r="E40" s="11" t="s">
        <v>72</v>
      </c>
      <c r="F40" s="7" t="s">
        <v>173</v>
      </c>
      <c r="G40" s="7" t="s">
        <v>173</v>
      </c>
      <c r="H40" s="7" t="s">
        <v>173</v>
      </c>
      <c r="I40" s="7" t="s">
        <v>174</v>
      </c>
      <c r="J40" s="7" t="s">
        <v>172</v>
      </c>
      <c r="K40" s="7" t="s">
        <v>172</v>
      </c>
      <c r="L40" s="12" t="s">
        <v>347</v>
      </c>
      <c r="M40" s="7" t="s">
        <v>176</v>
      </c>
    </row>
    <row r="41" customFormat="false" ht="23.25" hidden="false" customHeight="true" outlineLevel="0" collapsed="false">
      <c r="A41" s="10" t="n">
        <v>82</v>
      </c>
      <c r="B41" s="7" t="s">
        <v>348</v>
      </c>
      <c r="C41" s="7" t="s">
        <v>349</v>
      </c>
      <c r="D41" s="7" t="s">
        <v>202</v>
      </c>
      <c r="E41" s="11" t="s">
        <v>72</v>
      </c>
      <c r="F41" s="7" t="s">
        <v>136</v>
      </c>
      <c r="G41" s="7" t="s">
        <v>102</v>
      </c>
      <c r="H41" s="7" t="s">
        <v>102</v>
      </c>
      <c r="I41" s="7" t="s">
        <v>350</v>
      </c>
      <c r="J41" s="7" t="s">
        <v>351</v>
      </c>
      <c r="K41" s="7" t="s">
        <v>352</v>
      </c>
      <c r="L41" s="12" t="s">
        <v>353</v>
      </c>
      <c r="M41" s="7" t="s">
        <v>354</v>
      </c>
    </row>
    <row r="42" customFormat="false" ht="23.25" hidden="false" customHeight="true" outlineLevel="0" collapsed="false">
      <c r="A42" s="10" t="n">
        <v>82</v>
      </c>
      <c r="B42" s="7" t="s">
        <v>355</v>
      </c>
      <c r="C42" s="7" t="s">
        <v>356</v>
      </c>
      <c r="D42" s="7" t="s">
        <v>357</v>
      </c>
      <c r="E42" s="11" t="s">
        <v>72</v>
      </c>
      <c r="F42" s="7" t="s">
        <v>136</v>
      </c>
      <c r="G42" s="7" t="s">
        <v>102</v>
      </c>
      <c r="H42" s="7" t="s">
        <v>102</v>
      </c>
      <c r="I42" s="7" t="s">
        <v>358</v>
      </c>
      <c r="J42" s="7" t="s">
        <v>359</v>
      </c>
      <c r="K42" s="7" t="s">
        <v>360</v>
      </c>
      <c r="L42" s="12" t="s">
        <v>361</v>
      </c>
      <c r="M42" s="7" t="s">
        <v>362</v>
      </c>
    </row>
    <row r="43" customFormat="false" ht="34.5" hidden="false" customHeight="true" outlineLevel="0" collapsed="false">
      <c r="A43" s="10" t="n">
        <v>82</v>
      </c>
      <c r="B43" s="7" t="s">
        <v>297</v>
      </c>
      <c r="C43" s="7" t="s">
        <v>363</v>
      </c>
      <c r="D43" s="7" t="s">
        <v>364</v>
      </c>
      <c r="E43" s="11" t="s">
        <v>72</v>
      </c>
      <c r="F43" s="7" t="s">
        <v>101</v>
      </c>
      <c r="G43" s="7" t="s">
        <v>365</v>
      </c>
      <c r="H43" s="7" t="s">
        <v>102</v>
      </c>
      <c r="I43" s="7" t="s">
        <v>366</v>
      </c>
      <c r="J43" s="7" t="s">
        <v>367</v>
      </c>
      <c r="K43" s="7" t="s">
        <v>368</v>
      </c>
      <c r="L43" s="12" t="s">
        <v>369</v>
      </c>
      <c r="M43" s="7" t="s">
        <v>370</v>
      </c>
    </row>
    <row r="44" customFormat="false" ht="45.75" hidden="false" customHeight="true" outlineLevel="0" collapsed="false">
      <c r="A44" s="10" t="n">
        <v>82</v>
      </c>
      <c r="B44" s="7" t="s">
        <v>371</v>
      </c>
      <c r="C44" s="7" t="s">
        <v>372</v>
      </c>
      <c r="D44" s="7" t="s">
        <v>373</v>
      </c>
      <c r="E44" s="11" t="s">
        <v>72</v>
      </c>
      <c r="F44" s="7" t="s">
        <v>136</v>
      </c>
      <c r="G44" s="7" t="s">
        <v>102</v>
      </c>
      <c r="H44" s="7" t="s">
        <v>102</v>
      </c>
      <c r="I44" s="7" t="s">
        <v>374</v>
      </c>
      <c r="J44" s="7" t="s">
        <v>375</v>
      </c>
      <c r="K44" s="7" t="s">
        <v>376</v>
      </c>
      <c r="L44" s="12" t="s">
        <v>377</v>
      </c>
      <c r="M44" s="7" t="s">
        <v>378</v>
      </c>
    </row>
    <row r="45" customFormat="false" ht="34.5" hidden="false" customHeight="true" outlineLevel="0" collapsed="false">
      <c r="A45" s="13" t="n">
        <v>82</v>
      </c>
      <c r="B45" s="7" t="s">
        <v>332</v>
      </c>
      <c r="C45" s="7" t="s">
        <v>379</v>
      </c>
      <c r="D45" s="7" t="s">
        <v>187</v>
      </c>
      <c r="E45" s="14" t="s">
        <v>155</v>
      </c>
      <c r="F45" s="7" t="s">
        <v>136</v>
      </c>
      <c r="G45" s="7" t="s">
        <v>335</v>
      </c>
      <c r="H45" s="7" t="s">
        <v>336</v>
      </c>
      <c r="I45" s="7" t="s">
        <v>337</v>
      </c>
      <c r="J45" s="7" t="s">
        <v>380</v>
      </c>
      <c r="K45" s="7" t="s">
        <v>381</v>
      </c>
      <c r="L45" s="12" t="s">
        <v>382</v>
      </c>
      <c r="M45" s="7" t="s">
        <v>383</v>
      </c>
    </row>
    <row r="46" customFormat="false" ht="34.5" hidden="false" customHeight="true" outlineLevel="0" collapsed="false">
      <c r="A46" s="10" t="n">
        <v>82</v>
      </c>
      <c r="B46" s="7" t="s">
        <v>384</v>
      </c>
      <c r="C46" s="7" t="s">
        <v>385</v>
      </c>
      <c r="D46" s="7" t="s">
        <v>172</v>
      </c>
      <c r="E46" s="11" t="s">
        <v>72</v>
      </c>
      <c r="F46" s="7" t="s">
        <v>173</v>
      </c>
      <c r="G46" s="7" t="s">
        <v>173</v>
      </c>
      <c r="H46" s="7" t="s">
        <v>173</v>
      </c>
      <c r="I46" s="7" t="s">
        <v>174</v>
      </c>
      <c r="J46" s="7" t="s">
        <v>172</v>
      </c>
      <c r="K46" s="7" t="s">
        <v>172</v>
      </c>
      <c r="L46" s="12" t="s">
        <v>386</v>
      </c>
      <c r="M46" s="7" t="s">
        <v>176</v>
      </c>
    </row>
    <row r="47" customFormat="false" ht="34.5" hidden="false" customHeight="true" outlineLevel="0" collapsed="false">
      <c r="A47" s="15" t="n">
        <v>82</v>
      </c>
      <c r="B47" s="7" t="s">
        <v>289</v>
      </c>
      <c r="C47" s="7" t="s">
        <v>387</v>
      </c>
      <c r="D47" s="7" t="s">
        <v>172</v>
      </c>
      <c r="E47" s="16" t="s">
        <v>388</v>
      </c>
      <c r="F47" s="7" t="s">
        <v>173</v>
      </c>
      <c r="G47" s="7" t="s">
        <v>173</v>
      </c>
      <c r="H47" s="7" t="s">
        <v>173</v>
      </c>
      <c r="I47" s="7" t="s">
        <v>174</v>
      </c>
      <c r="J47" s="7" t="s">
        <v>172</v>
      </c>
      <c r="K47" s="7" t="s">
        <v>172</v>
      </c>
      <c r="L47" s="12" t="s">
        <v>389</v>
      </c>
      <c r="M47" s="7" t="s">
        <v>176</v>
      </c>
    </row>
    <row r="48" customFormat="false" ht="45.75" hidden="false" customHeight="true" outlineLevel="0" collapsed="false">
      <c r="A48" s="10" t="n">
        <v>82</v>
      </c>
      <c r="B48" s="7" t="s">
        <v>152</v>
      </c>
      <c r="C48" s="7" t="s">
        <v>390</v>
      </c>
      <c r="D48" s="7" t="s">
        <v>391</v>
      </c>
      <c r="E48" s="11" t="s">
        <v>72</v>
      </c>
      <c r="F48" s="7" t="s">
        <v>136</v>
      </c>
      <c r="G48" s="7" t="s">
        <v>392</v>
      </c>
      <c r="H48" s="7" t="s">
        <v>393</v>
      </c>
      <c r="I48" s="7" t="s">
        <v>394</v>
      </c>
      <c r="J48" s="7" t="s">
        <v>395</v>
      </c>
      <c r="K48" s="7" t="s">
        <v>396</v>
      </c>
      <c r="L48" s="12" t="s">
        <v>397</v>
      </c>
      <c r="M48" s="7" t="s">
        <v>398</v>
      </c>
    </row>
    <row r="49" customFormat="false" ht="34.5" hidden="false" customHeight="true" outlineLevel="0" collapsed="false">
      <c r="A49" s="10" t="n">
        <v>82</v>
      </c>
      <c r="B49" s="7" t="s">
        <v>399</v>
      </c>
      <c r="C49" s="7" t="s">
        <v>400</v>
      </c>
      <c r="D49" s="7" t="s">
        <v>401</v>
      </c>
      <c r="E49" s="11" t="s">
        <v>72</v>
      </c>
      <c r="F49" s="7" t="s">
        <v>136</v>
      </c>
      <c r="G49" s="7" t="s">
        <v>392</v>
      </c>
      <c r="H49" s="7" t="s">
        <v>393</v>
      </c>
      <c r="I49" s="7" t="s">
        <v>394</v>
      </c>
      <c r="J49" s="7" t="s">
        <v>402</v>
      </c>
      <c r="K49" s="7" t="s">
        <v>396</v>
      </c>
      <c r="L49" s="12" t="s">
        <v>403</v>
      </c>
      <c r="M49" s="7" t="s">
        <v>398</v>
      </c>
    </row>
    <row r="50" customFormat="false" ht="34.5" hidden="false" customHeight="true" outlineLevel="0" collapsed="false">
      <c r="A50" s="10" t="n">
        <v>82</v>
      </c>
      <c r="B50" s="7" t="s">
        <v>404</v>
      </c>
      <c r="C50" s="7" t="s">
        <v>405</v>
      </c>
      <c r="D50" s="7" t="s">
        <v>406</v>
      </c>
      <c r="E50" s="11" t="s">
        <v>72</v>
      </c>
      <c r="F50" s="7" t="s">
        <v>136</v>
      </c>
      <c r="G50" s="7" t="s">
        <v>392</v>
      </c>
      <c r="H50" s="7" t="s">
        <v>393</v>
      </c>
      <c r="I50" s="7" t="s">
        <v>394</v>
      </c>
      <c r="J50" s="7" t="s">
        <v>407</v>
      </c>
      <c r="K50" s="7" t="s">
        <v>396</v>
      </c>
      <c r="L50" s="12" t="s">
        <v>408</v>
      </c>
      <c r="M50" s="7" t="s">
        <v>398</v>
      </c>
    </row>
    <row r="51" customFormat="false" ht="23.25" hidden="false" customHeight="true" outlineLevel="0" collapsed="false">
      <c r="A51" s="10" t="n">
        <v>82</v>
      </c>
      <c r="B51" s="7" t="s">
        <v>409</v>
      </c>
      <c r="C51" s="7" t="s">
        <v>410</v>
      </c>
      <c r="D51" s="7" t="s">
        <v>411</v>
      </c>
      <c r="E51" s="11" t="s">
        <v>72</v>
      </c>
      <c r="F51" s="7" t="s">
        <v>136</v>
      </c>
      <c r="G51" s="7" t="s">
        <v>392</v>
      </c>
      <c r="H51" s="7" t="s">
        <v>393</v>
      </c>
      <c r="I51" s="7" t="s">
        <v>394</v>
      </c>
      <c r="J51" s="7" t="s">
        <v>412</v>
      </c>
      <c r="K51" s="7" t="s">
        <v>396</v>
      </c>
      <c r="L51" s="12" t="s">
        <v>413</v>
      </c>
      <c r="M51" s="7" t="s">
        <v>398</v>
      </c>
    </row>
    <row r="52" customFormat="false" ht="23.25" hidden="false" customHeight="true" outlineLevel="0" collapsed="false">
      <c r="A52" s="13" t="n">
        <v>81</v>
      </c>
      <c r="B52" s="7" t="s">
        <v>414</v>
      </c>
      <c r="C52" s="7" t="s">
        <v>415</v>
      </c>
      <c r="D52" s="7" t="s">
        <v>416</v>
      </c>
      <c r="E52" s="14" t="s">
        <v>155</v>
      </c>
      <c r="F52" s="7" t="s">
        <v>136</v>
      </c>
      <c r="G52" s="7" t="s">
        <v>417</v>
      </c>
      <c r="H52" s="7" t="s">
        <v>102</v>
      </c>
      <c r="I52" s="7" t="s">
        <v>418</v>
      </c>
      <c r="J52" s="7" t="s">
        <v>419</v>
      </c>
      <c r="K52" s="7" t="s">
        <v>420</v>
      </c>
      <c r="L52" s="12" t="s">
        <v>421</v>
      </c>
      <c r="M52" s="7" t="s">
        <v>422</v>
      </c>
    </row>
    <row r="53" customFormat="false" ht="23.25" hidden="false" customHeight="true" outlineLevel="0" collapsed="false">
      <c r="A53" s="13" t="n">
        <v>81</v>
      </c>
      <c r="B53" s="7" t="s">
        <v>423</v>
      </c>
      <c r="C53" s="7" t="s">
        <v>424</v>
      </c>
      <c r="D53" s="7" t="s">
        <v>425</v>
      </c>
      <c r="E53" s="14" t="s">
        <v>155</v>
      </c>
      <c r="F53" s="7" t="s">
        <v>136</v>
      </c>
      <c r="G53" s="7" t="s">
        <v>102</v>
      </c>
      <c r="H53" s="7" t="s">
        <v>102</v>
      </c>
      <c r="I53" s="7" t="s">
        <v>426</v>
      </c>
      <c r="J53" s="7" t="s">
        <v>427</v>
      </c>
      <c r="K53" s="7" t="s">
        <v>428</v>
      </c>
      <c r="L53" s="12" t="s">
        <v>429</v>
      </c>
      <c r="M53" s="7" t="s">
        <v>430</v>
      </c>
    </row>
    <row r="54" customFormat="false" ht="34.5" hidden="false" customHeight="true" outlineLevel="0" collapsed="false">
      <c r="A54" s="10" t="n">
        <v>81</v>
      </c>
      <c r="B54" s="7" t="s">
        <v>431</v>
      </c>
      <c r="C54" s="7" t="s">
        <v>432</v>
      </c>
      <c r="D54" s="7" t="s">
        <v>433</v>
      </c>
      <c r="E54" s="11" t="s">
        <v>72</v>
      </c>
      <c r="F54" s="7" t="s">
        <v>136</v>
      </c>
      <c r="G54" s="7" t="s">
        <v>102</v>
      </c>
      <c r="H54" s="7" t="s">
        <v>102</v>
      </c>
      <c r="I54" s="7" t="s">
        <v>434</v>
      </c>
      <c r="J54" s="7" t="s">
        <v>435</v>
      </c>
      <c r="K54" s="7" t="s">
        <v>436</v>
      </c>
      <c r="L54" s="12" t="s">
        <v>437</v>
      </c>
      <c r="M54" s="7" t="s">
        <v>438</v>
      </c>
    </row>
    <row r="55" customFormat="false" ht="34.5" hidden="false" customHeight="true" outlineLevel="0" collapsed="false">
      <c r="A55" s="10" t="n">
        <v>81</v>
      </c>
      <c r="B55" s="7" t="s">
        <v>439</v>
      </c>
      <c r="C55" s="7" t="s">
        <v>440</v>
      </c>
      <c r="D55" s="7" t="s">
        <v>299</v>
      </c>
      <c r="E55" s="11" t="s">
        <v>72</v>
      </c>
      <c r="F55" s="7" t="s">
        <v>136</v>
      </c>
      <c r="G55" s="7" t="s">
        <v>441</v>
      </c>
      <c r="H55" s="7" t="s">
        <v>102</v>
      </c>
      <c r="I55" s="7" t="s">
        <v>442</v>
      </c>
      <c r="J55" s="7" t="s">
        <v>443</v>
      </c>
      <c r="K55" s="7" t="s">
        <v>444</v>
      </c>
      <c r="L55" s="12" t="s">
        <v>445</v>
      </c>
      <c r="M55" s="7" t="s">
        <v>446</v>
      </c>
    </row>
    <row r="56" customFormat="false" ht="45.75" hidden="false" customHeight="true" outlineLevel="0" collapsed="false">
      <c r="A56" s="10" t="n">
        <v>81</v>
      </c>
      <c r="B56" s="7" t="s">
        <v>264</v>
      </c>
      <c r="C56" s="7" t="s">
        <v>447</v>
      </c>
      <c r="D56" s="7" t="s">
        <v>299</v>
      </c>
      <c r="E56" s="11" t="s">
        <v>72</v>
      </c>
      <c r="F56" s="7" t="s">
        <v>136</v>
      </c>
      <c r="G56" s="7" t="s">
        <v>102</v>
      </c>
      <c r="H56" s="7" t="s">
        <v>448</v>
      </c>
      <c r="I56" s="7" t="s">
        <v>449</v>
      </c>
      <c r="J56" s="7" t="s">
        <v>450</v>
      </c>
      <c r="K56" s="7" t="s">
        <v>451</v>
      </c>
      <c r="L56" s="12" t="s">
        <v>452</v>
      </c>
      <c r="M56" s="7" t="s">
        <v>453</v>
      </c>
    </row>
    <row r="57" customFormat="false" ht="23.25" hidden="false" customHeight="true" outlineLevel="0" collapsed="false">
      <c r="A57" s="10" t="n">
        <v>81</v>
      </c>
      <c r="B57" s="7" t="s">
        <v>454</v>
      </c>
      <c r="C57" s="7" t="s">
        <v>455</v>
      </c>
      <c r="D57" s="7" t="s">
        <v>456</v>
      </c>
      <c r="E57" s="11" t="s">
        <v>72</v>
      </c>
      <c r="F57" s="7" t="s">
        <v>136</v>
      </c>
      <c r="G57" s="7" t="s">
        <v>102</v>
      </c>
      <c r="H57" s="7" t="s">
        <v>457</v>
      </c>
      <c r="I57" s="7" t="s">
        <v>458</v>
      </c>
      <c r="J57" s="7" t="s">
        <v>459</v>
      </c>
      <c r="K57" s="7" t="s">
        <v>460</v>
      </c>
      <c r="L57" s="12" t="s">
        <v>461</v>
      </c>
      <c r="M57" s="7" t="s">
        <v>462</v>
      </c>
    </row>
    <row r="58" customFormat="false" ht="45.75" hidden="false" customHeight="true" outlineLevel="0" collapsed="false">
      <c r="A58" s="13" t="n">
        <v>81</v>
      </c>
      <c r="B58" s="7" t="s">
        <v>463</v>
      </c>
      <c r="C58" s="7" t="s">
        <v>464</v>
      </c>
      <c r="D58" s="7" t="s">
        <v>465</v>
      </c>
      <c r="E58" s="14" t="s">
        <v>155</v>
      </c>
      <c r="F58" s="7" t="s">
        <v>136</v>
      </c>
      <c r="G58" s="7" t="s">
        <v>102</v>
      </c>
      <c r="H58" s="7" t="s">
        <v>102</v>
      </c>
      <c r="I58" s="7" t="s">
        <v>466</v>
      </c>
      <c r="J58" s="7" t="s">
        <v>467</v>
      </c>
      <c r="K58" s="7" t="s">
        <v>468</v>
      </c>
      <c r="L58" s="12" t="s">
        <v>469</v>
      </c>
      <c r="M58" s="7" t="s">
        <v>470</v>
      </c>
    </row>
    <row r="59" customFormat="false" ht="23.25" hidden="false" customHeight="true" outlineLevel="0" collapsed="false">
      <c r="A59" s="13" t="n">
        <v>81</v>
      </c>
      <c r="B59" s="7" t="s">
        <v>471</v>
      </c>
      <c r="C59" s="7" t="s">
        <v>472</v>
      </c>
      <c r="D59" s="7" t="s">
        <v>473</v>
      </c>
      <c r="E59" s="14" t="s">
        <v>155</v>
      </c>
      <c r="F59" s="7" t="s">
        <v>136</v>
      </c>
      <c r="G59" s="7" t="s">
        <v>474</v>
      </c>
      <c r="H59" s="7" t="s">
        <v>475</v>
      </c>
      <c r="I59" s="7" t="s">
        <v>476</v>
      </c>
      <c r="J59" s="7" t="s">
        <v>477</v>
      </c>
      <c r="K59" s="7" t="s">
        <v>478</v>
      </c>
      <c r="L59" s="12" t="s">
        <v>479</v>
      </c>
      <c r="M59" s="7" t="s">
        <v>480</v>
      </c>
    </row>
    <row r="60" customFormat="false" ht="23.25" hidden="false" customHeight="true" outlineLevel="0" collapsed="false">
      <c r="A60" s="13" t="n">
        <v>80</v>
      </c>
      <c r="B60" s="7" t="s">
        <v>481</v>
      </c>
      <c r="C60" s="7" t="s">
        <v>482</v>
      </c>
      <c r="D60" s="7" t="s">
        <v>483</v>
      </c>
      <c r="E60" s="14" t="s">
        <v>155</v>
      </c>
      <c r="F60" s="7" t="s">
        <v>136</v>
      </c>
      <c r="G60" s="7" t="s">
        <v>417</v>
      </c>
      <c r="H60" s="7" t="s">
        <v>484</v>
      </c>
      <c r="I60" s="7" t="s">
        <v>102</v>
      </c>
      <c r="J60" s="7" t="s">
        <v>485</v>
      </c>
      <c r="K60" s="7" t="s">
        <v>486</v>
      </c>
      <c r="L60" s="12" t="s">
        <v>487</v>
      </c>
      <c r="M60" s="7" t="s">
        <v>488</v>
      </c>
    </row>
    <row r="61" customFormat="false" ht="23.25" hidden="false" customHeight="true" outlineLevel="0" collapsed="false">
      <c r="A61" s="10" t="n">
        <v>80</v>
      </c>
      <c r="B61" s="7" t="s">
        <v>489</v>
      </c>
      <c r="C61" s="7" t="s">
        <v>490</v>
      </c>
      <c r="D61" s="7" t="s">
        <v>491</v>
      </c>
      <c r="E61" s="11" t="s">
        <v>72</v>
      </c>
      <c r="F61" s="7" t="s">
        <v>136</v>
      </c>
      <c r="G61" s="7" t="s">
        <v>102</v>
      </c>
      <c r="H61" s="7" t="s">
        <v>492</v>
      </c>
      <c r="I61" s="7" t="s">
        <v>449</v>
      </c>
      <c r="J61" s="7" t="s">
        <v>493</v>
      </c>
      <c r="K61" s="7" t="s">
        <v>494</v>
      </c>
      <c r="L61" s="12" t="s">
        <v>495</v>
      </c>
      <c r="M61" s="7" t="s">
        <v>496</v>
      </c>
    </row>
    <row r="62" customFormat="false" ht="34.5" hidden="false" customHeight="true" outlineLevel="0" collapsed="false">
      <c r="A62" s="13" t="n">
        <v>79</v>
      </c>
      <c r="B62" s="7" t="s">
        <v>497</v>
      </c>
      <c r="C62" s="7" t="s">
        <v>498</v>
      </c>
      <c r="D62" s="7" t="s">
        <v>499</v>
      </c>
      <c r="E62" s="14" t="s">
        <v>155</v>
      </c>
      <c r="F62" s="7" t="s">
        <v>136</v>
      </c>
      <c r="G62" s="7" t="s">
        <v>417</v>
      </c>
      <c r="H62" s="7" t="s">
        <v>500</v>
      </c>
      <c r="I62" s="7" t="s">
        <v>102</v>
      </c>
      <c r="J62" s="7" t="s">
        <v>501</v>
      </c>
      <c r="K62" s="7" t="s">
        <v>502</v>
      </c>
      <c r="L62" s="12" t="s">
        <v>503</v>
      </c>
      <c r="M62" s="7" t="s">
        <v>504</v>
      </c>
    </row>
    <row r="63" customFormat="false" ht="34.5" hidden="false" customHeight="true" outlineLevel="0" collapsed="false">
      <c r="A63" s="13" t="n">
        <v>79</v>
      </c>
      <c r="B63" s="7" t="s">
        <v>505</v>
      </c>
      <c r="C63" s="7" t="s">
        <v>506</v>
      </c>
      <c r="D63" s="7" t="s">
        <v>507</v>
      </c>
      <c r="E63" s="14" t="s">
        <v>155</v>
      </c>
      <c r="F63" s="7" t="s">
        <v>101</v>
      </c>
      <c r="G63" s="7" t="s">
        <v>508</v>
      </c>
      <c r="H63" s="7" t="s">
        <v>102</v>
      </c>
      <c r="I63" s="7" t="s">
        <v>213</v>
      </c>
      <c r="J63" s="7" t="s">
        <v>509</v>
      </c>
      <c r="K63" s="7" t="s">
        <v>510</v>
      </c>
      <c r="L63" s="12" t="s">
        <v>511</v>
      </c>
      <c r="M63" s="7" t="s">
        <v>512</v>
      </c>
    </row>
    <row r="64" customFormat="false" ht="34.5" hidden="false" customHeight="true" outlineLevel="0" collapsed="false">
      <c r="A64" s="13" t="n">
        <v>79</v>
      </c>
      <c r="B64" s="7" t="s">
        <v>513</v>
      </c>
      <c r="C64" s="7" t="s">
        <v>514</v>
      </c>
      <c r="D64" s="7" t="s">
        <v>515</v>
      </c>
      <c r="E64" s="14" t="s">
        <v>155</v>
      </c>
      <c r="F64" s="7" t="s">
        <v>73</v>
      </c>
      <c r="G64" s="7" t="s">
        <v>102</v>
      </c>
      <c r="H64" s="7" t="s">
        <v>516</v>
      </c>
      <c r="I64" s="7" t="s">
        <v>517</v>
      </c>
      <c r="J64" s="7" t="s">
        <v>518</v>
      </c>
      <c r="K64" s="7" t="s">
        <v>519</v>
      </c>
      <c r="L64" s="12" t="s">
        <v>520</v>
      </c>
      <c r="M64" s="7" t="s">
        <v>521</v>
      </c>
    </row>
    <row r="65" customFormat="false" ht="34.5" hidden="false" customHeight="true" outlineLevel="0" collapsed="false">
      <c r="A65" s="13" t="n">
        <v>79</v>
      </c>
      <c r="B65" s="7" t="s">
        <v>522</v>
      </c>
      <c r="C65" s="7" t="s">
        <v>523</v>
      </c>
      <c r="D65" s="7" t="s">
        <v>524</v>
      </c>
      <c r="E65" s="14" t="s">
        <v>155</v>
      </c>
      <c r="F65" s="7" t="s">
        <v>136</v>
      </c>
      <c r="G65" s="7" t="s">
        <v>525</v>
      </c>
      <c r="H65" s="7" t="s">
        <v>102</v>
      </c>
      <c r="I65" s="7" t="s">
        <v>426</v>
      </c>
      <c r="J65" s="7" t="s">
        <v>526</v>
      </c>
      <c r="K65" s="7" t="s">
        <v>527</v>
      </c>
      <c r="L65" s="12" t="s">
        <v>528</v>
      </c>
      <c r="M65" s="7" t="s">
        <v>529</v>
      </c>
    </row>
    <row r="66" customFormat="false" ht="23.25" hidden="false" customHeight="true" outlineLevel="0" collapsed="false">
      <c r="A66" s="13" t="n">
        <v>79</v>
      </c>
      <c r="B66" s="7" t="s">
        <v>530</v>
      </c>
      <c r="C66" s="7" t="s">
        <v>531</v>
      </c>
      <c r="D66" s="7" t="s">
        <v>532</v>
      </c>
      <c r="E66" s="14" t="s">
        <v>155</v>
      </c>
      <c r="F66" s="7" t="s">
        <v>73</v>
      </c>
      <c r="G66" s="7" t="s">
        <v>533</v>
      </c>
      <c r="H66" s="7" t="s">
        <v>534</v>
      </c>
      <c r="I66" s="7" t="s">
        <v>449</v>
      </c>
      <c r="J66" s="7" t="s">
        <v>535</v>
      </c>
      <c r="K66" s="7" t="s">
        <v>536</v>
      </c>
      <c r="L66" s="12" t="s">
        <v>537</v>
      </c>
      <c r="M66" s="7" t="s">
        <v>538</v>
      </c>
    </row>
    <row r="67" customFormat="false" ht="23.25" hidden="false" customHeight="true" outlineLevel="0" collapsed="false">
      <c r="A67" s="10" t="n">
        <v>79</v>
      </c>
      <c r="B67" s="7" t="s">
        <v>539</v>
      </c>
      <c r="C67" s="7" t="s">
        <v>540</v>
      </c>
      <c r="D67" s="7" t="s">
        <v>541</v>
      </c>
      <c r="E67" s="11" t="s">
        <v>72</v>
      </c>
      <c r="F67" s="7" t="s">
        <v>136</v>
      </c>
      <c r="G67" s="7" t="s">
        <v>542</v>
      </c>
      <c r="H67" s="7" t="s">
        <v>543</v>
      </c>
      <c r="I67" s="7" t="s">
        <v>544</v>
      </c>
      <c r="J67" s="7" t="s">
        <v>545</v>
      </c>
      <c r="K67" s="7" t="s">
        <v>546</v>
      </c>
      <c r="L67" s="12" t="s">
        <v>547</v>
      </c>
      <c r="M67" s="7" t="s">
        <v>548</v>
      </c>
    </row>
    <row r="68" customFormat="false" ht="23.25" hidden="false" customHeight="true" outlineLevel="0" collapsed="false">
      <c r="A68" s="10" t="n">
        <v>78</v>
      </c>
      <c r="B68" s="7" t="s">
        <v>279</v>
      </c>
      <c r="C68" s="7" t="s">
        <v>549</v>
      </c>
      <c r="D68" s="7" t="s">
        <v>299</v>
      </c>
      <c r="E68" s="11" t="s">
        <v>72</v>
      </c>
      <c r="F68" s="7" t="s">
        <v>136</v>
      </c>
      <c r="G68" s="7" t="s">
        <v>102</v>
      </c>
      <c r="H68" s="7" t="s">
        <v>550</v>
      </c>
      <c r="I68" s="7" t="s">
        <v>551</v>
      </c>
      <c r="J68" s="7" t="s">
        <v>552</v>
      </c>
      <c r="K68" s="7" t="s">
        <v>553</v>
      </c>
      <c r="L68" s="12" t="s">
        <v>554</v>
      </c>
      <c r="M68" s="7" t="s">
        <v>555</v>
      </c>
    </row>
    <row r="69" customFormat="false" ht="34.5" hidden="false" customHeight="true" outlineLevel="0" collapsed="false">
      <c r="A69" s="13" t="n">
        <v>78</v>
      </c>
      <c r="B69" s="7" t="s">
        <v>177</v>
      </c>
      <c r="C69" s="7" t="s">
        <v>556</v>
      </c>
      <c r="D69" s="7" t="s">
        <v>557</v>
      </c>
      <c r="E69" s="14" t="s">
        <v>155</v>
      </c>
      <c r="F69" s="7" t="s">
        <v>136</v>
      </c>
      <c r="G69" s="7" t="s">
        <v>102</v>
      </c>
      <c r="H69" s="7" t="s">
        <v>102</v>
      </c>
      <c r="I69" s="7" t="s">
        <v>558</v>
      </c>
      <c r="J69" s="7" t="s">
        <v>559</v>
      </c>
      <c r="K69" s="7" t="s">
        <v>560</v>
      </c>
      <c r="L69" s="12" t="s">
        <v>561</v>
      </c>
      <c r="M69" s="7" t="s">
        <v>562</v>
      </c>
    </row>
    <row r="70" customFormat="false" ht="34.5" hidden="false" customHeight="true" outlineLevel="0" collapsed="false">
      <c r="A70" s="13" t="n">
        <v>78</v>
      </c>
      <c r="B70" s="7" t="s">
        <v>563</v>
      </c>
      <c r="C70" s="7" t="s">
        <v>564</v>
      </c>
      <c r="D70" s="7" t="s">
        <v>194</v>
      </c>
      <c r="E70" s="14" t="s">
        <v>155</v>
      </c>
      <c r="F70" s="7" t="s">
        <v>101</v>
      </c>
      <c r="G70" s="7" t="s">
        <v>102</v>
      </c>
      <c r="H70" s="7" t="s">
        <v>565</v>
      </c>
      <c r="I70" s="7" t="s">
        <v>566</v>
      </c>
      <c r="J70" s="7" t="s">
        <v>567</v>
      </c>
      <c r="K70" s="7" t="s">
        <v>568</v>
      </c>
      <c r="L70" s="12" t="s">
        <v>569</v>
      </c>
      <c r="M70" s="7" t="s">
        <v>570</v>
      </c>
    </row>
    <row r="71" customFormat="false" ht="34.5" hidden="false" customHeight="true" outlineLevel="0" collapsed="false">
      <c r="A71" s="13" t="n">
        <v>78</v>
      </c>
      <c r="B71" s="7" t="s">
        <v>571</v>
      </c>
      <c r="C71" s="7" t="s">
        <v>572</v>
      </c>
      <c r="D71" s="7" t="s">
        <v>172</v>
      </c>
      <c r="E71" s="14" t="s">
        <v>155</v>
      </c>
      <c r="F71" s="7" t="s">
        <v>173</v>
      </c>
      <c r="G71" s="7" t="s">
        <v>173</v>
      </c>
      <c r="H71" s="7" t="s">
        <v>173</v>
      </c>
      <c r="I71" s="7" t="s">
        <v>174</v>
      </c>
      <c r="J71" s="7" t="s">
        <v>172</v>
      </c>
      <c r="K71" s="7" t="s">
        <v>172</v>
      </c>
      <c r="L71" s="12" t="s">
        <v>573</v>
      </c>
      <c r="M71" s="7" t="s">
        <v>176</v>
      </c>
    </row>
    <row r="72" customFormat="false" ht="23.25" hidden="false" customHeight="true" outlineLevel="0" collapsed="false">
      <c r="A72" s="10" t="n">
        <v>78</v>
      </c>
      <c r="B72" s="7" t="s">
        <v>574</v>
      </c>
      <c r="C72" s="7" t="s">
        <v>575</v>
      </c>
      <c r="D72" s="7" t="s">
        <v>172</v>
      </c>
      <c r="E72" s="11" t="s">
        <v>72</v>
      </c>
      <c r="F72" s="7" t="s">
        <v>173</v>
      </c>
      <c r="G72" s="7" t="s">
        <v>173</v>
      </c>
      <c r="H72" s="7" t="s">
        <v>173</v>
      </c>
      <c r="I72" s="7" t="s">
        <v>174</v>
      </c>
      <c r="J72" s="7" t="s">
        <v>172</v>
      </c>
      <c r="K72" s="7" t="s">
        <v>172</v>
      </c>
      <c r="L72" s="12" t="s">
        <v>576</v>
      </c>
      <c r="M72" s="7" t="s">
        <v>176</v>
      </c>
    </row>
    <row r="73" customFormat="false" ht="23.25" hidden="false" customHeight="true" outlineLevel="0" collapsed="false">
      <c r="A73" s="13" t="n">
        <v>78</v>
      </c>
      <c r="B73" s="7" t="s">
        <v>577</v>
      </c>
      <c r="C73" s="7" t="s">
        <v>578</v>
      </c>
      <c r="D73" s="7" t="s">
        <v>579</v>
      </c>
      <c r="E73" s="14" t="s">
        <v>155</v>
      </c>
      <c r="F73" s="7" t="s">
        <v>136</v>
      </c>
      <c r="G73" s="7" t="s">
        <v>580</v>
      </c>
      <c r="H73" s="7" t="s">
        <v>102</v>
      </c>
      <c r="I73" s="7" t="s">
        <v>581</v>
      </c>
      <c r="J73" s="7" t="s">
        <v>582</v>
      </c>
      <c r="K73" s="7" t="s">
        <v>583</v>
      </c>
      <c r="L73" s="12" t="s">
        <v>584</v>
      </c>
      <c r="M73" s="7" t="s">
        <v>585</v>
      </c>
    </row>
    <row r="74" customFormat="false" ht="34.5" hidden="false" customHeight="true" outlineLevel="0" collapsed="false">
      <c r="A74" s="10" t="n">
        <v>77</v>
      </c>
      <c r="B74" s="7" t="s">
        <v>586</v>
      </c>
      <c r="C74" s="7" t="s">
        <v>587</v>
      </c>
      <c r="D74" s="7" t="s">
        <v>83</v>
      </c>
      <c r="E74" s="11" t="s">
        <v>72</v>
      </c>
      <c r="F74" s="7" t="s">
        <v>73</v>
      </c>
      <c r="G74" s="7" t="s">
        <v>74</v>
      </c>
      <c r="H74" s="7" t="s">
        <v>165</v>
      </c>
      <c r="I74" s="7" t="s">
        <v>76</v>
      </c>
      <c r="J74" s="7" t="s">
        <v>588</v>
      </c>
      <c r="K74" s="7" t="s">
        <v>589</v>
      </c>
      <c r="L74" s="12" t="s">
        <v>590</v>
      </c>
      <c r="M74" s="7" t="s">
        <v>591</v>
      </c>
    </row>
    <row r="75" customFormat="false" ht="23.25" hidden="false" customHeight="true" outlineLevel="0" collapsed="false">
      <c r="A75" s="13" t="n">
        <v>77</v>
      </c>
      <c r="B75" s="7" t="s">
        <v>289</v>
      </c>
      <c r="C75" s="7" t="s">
        <v>592</v>
      </c>
      <c r="D75" s="7" t="s">
        <v>593</v>
      </c>
      <c r="E75" s="14" t="s">
        <v>155</v>
      </c>
      <c r="F75" s="7" t="s">
        <v>136</v>
      </c>
      <c r="G75" s="7" t="s">
        <v>102</v>
      </c>
      <c r="H75" s="7" t="s">
        <v>594</v>
      </c>
      <c r="I75" s="7" t="s">
        <v>284</v>
      </c>
      <c r="J75" s="7" t="s">
        <v>595</v>
      </c>
      <c r="K75" s="7" t="s">
        <v>596</v>
      </c>
      <c r="L75" s="12" t="s">
        <v>597</v>
      </c>
      <c r="M75" s="7" t="s">
        <v>598</v>
      </c>
    </row>
    <row r="76" customFormat="false" ht="34.5" hidden="false" customHeight="true" outlineLevel="0" collapsed="false">
      <c r="A76" s="13" t="n">
        <v>77</v>
      </c>
      <c r="B76" s="7" t="s">
        <v>599</v>
      </c>
      <c r="C76" s="7" t="s">
        <v>600</v>
      </c>
      <c r="D76" s="7" t="s">
        <v>601</v>
      </c>
      <c r="E76" s="14" t="s">
        <v>155</v>
      </c>
      <c r="F76" s="7" t="s">
        <v>136</v>
      </c>
      <c r="G76" s="7" t="s">
        <v>602</v>
      </c>
      <c r="H76" s="7" t="s">
        <v>603</v>
      </c>
      <c r="I76" s="7" t="s">
        <v>604</v>
      </c>
      <c r="J76" s="7" t="s">
        <v>605</v>
      </c>
      <c r="K76" s="7" t="s">
        <v>606</v>
      </c>
      <c r="L76" s="12" t="s">
        <v>607</v>
      </c>
      <c r="M76" s="7" t="s">
        <v>608</v>
      </c>
    </row>
    <row r="77" customFormat="false" ht="34.5" hidden="false" customHeight="true" outlineLevel="0" collapsed="false">
      <c r="A77" s="13" t="n">
        <v>76</v>
      </c>
      <c r="B77" s="7" t="s">
        <v>609</v>
      </c>
      <c r="C77" s="7" t="s">
        <v>610</v>
      </c>
      <c r="D77" s="7" t="s">
        <v>611</v>
      </c>
      <c r="E77" s="14" t="s">
        <v>155</v>
      </c>
      <c r="F77" s="7" t="s">
        <v>101</v>
      </c>
      <c r="G77" s="7" t="s">
        <v>612</v>
      </c>
      <c r="H77" s="7" t="s">
        <v>613</v>
      </c>
      <c r="I77" s="7" t="s">
        <v>614</v>
      </c>
      <c r="J77" s="7" t="s">
        <v>615</v>
      </c>
      <c r="K77" s="7" t="s">
        <v>616</v>
      </c>
      <c r="L77" s="12" t="s">
        <v>617</v>
      </c>
      <c r="M77" s="7" t="s">
        <v>618</v>
      </c>
    </row>
    <row r="78" customFormat="false" ht="34.5" hidden="false" customHeight="true" outlineLevel="0" collapsed="false">
      <c r="A78" s="13" t="n">
        <v>76</v>
      </c>
      <c r="B78" s="7" t="s">
        <v>619</v>
      </c>
      <c r="C78" s="7" t="s">
        <v>620</v>
      </c>
      <c r="D78" s="7" t="s">
        <v>621</v>
      </c>
      <c r="E78" s="14" t="s">
        <v>155</v>
      </c>
      <c r="F78" s="7" t="s">
        <v>136</v>
      </c>
      <c r="G78" s="7" t="s">
        <v>622</v>
      </c>
      <c r="H78" s="7" t="s">
        <v>623</v>
      </c>
      <c r="I78" s="7" t="s">
        <v>624</v>
      </c>
      <c r="J78" s="7" t="s">
        <v>625</v>
      </c>
      <c r="K78" s="7" t="s">
        <v>626</v>
      </c>
      <c r="L78" s="12" t="s">
        <v>627</v>
      </c>
      <c r="M78" s="7" t="s">
        <v>628</v>
      </c>
    </row>
    <row r="79" customFormat="false" ht="45.75" hidden="false" customHeight="true" outlineLevel="0" collapsed="false">
      <c r="A79" s="10" t="n">
        <v>76</v>
      </c>
      <c r="B79" s="7" t="s">
        <v>629</v>
      </c>
      <c r="C79" s="7" t="s">
        <v>630</v>
      </c>
      <c r="D79" s="7" t="s">
        <v>631</v>
      </c>
      <c r="E79" s="11" t="s">
        <v>72</v>
      </c>
      <c r="F79" s="7" t="s">
        <v>136</v>
      </c>
      <c r="G79" s="7" t="s">
        <v>102</v>
      </c>
      <c r="H79" s="7" t="s">
        <v>102</v>
      </c>
      <c r="I79" s="7" t="s">
        <v>434</v>
      </c>
      <c r="J79" s="7" t="s">
        <v>632</v>
      </c>
      <c r="K79" s="7" t="s">
        <v>633</v>
      </c>
      <c r="L79" s="12" t="s">
        <v>634</v>
      </c>
      <c r="M79" s="7" t="s">
        <v>635</v>
      </c>
    </row>
    <row r="80" customFormat="false" ht="34.5" hidden="false" customHeight="true" outlineLevel="0" collapsed="false">
      <c r="A80" s="10" t="n">
        <v>76</v>
      </c>
      <c r="B80" s="7" t="s">
        <v>636</v>
      </c>
      <c r="C80" s="7" t="s">
        <v>637</v>
      </c>
      <c r="D80" s="7" t="s">
        <v>638</v>
      </c>
      <c r="E80" s="11" t="s">
        <v>72</v>
      </c>
      <c r="F80" s="7" t="s">
        <v>136</v>
      </c>
      <c r="G80" s="7" t="s">
        <v>639</v>
      </c>
      <c r="H80" s="7" t="s">
        <v>102</v>
      </c>
      <c r="I80" s="7" t="s">
        <v>640</v>
      </c>
      <c r="J80" s="7" t="s">
        <v>641</v>
      </c>
      <c r="K80" s="7" t="s">
        <v>642</v>
      </c>
      <c r="L80" s="12" t="s">
        <v>643</v>
      </c>
      <c r="M80" s="7" t="s">
        <v>644</v>
      </c>
    </row>
    <row r="81" customFormat="false" ht="34.5" hidden="false" customHeight="true" outlineLevel="0" collapsed="false">
      <c r="A81" s="13" t="n">
        <v>76</v>
      </c>
      <c r="B81" s="7" t="s">
        <v>645</v>
      </c>
      <c r="C81" s="7" t="s">
        <v>646</v>
      </c>
      <c r="D81" s="7" t="s">
        <v>647</v>
      </c>
      <c r="E81" s="14" t="s">
        <v>155</v>
      </c>
      <c r="F81" s="7" t="s">
        <v>136</v>
      </c>
      <c r="G81" s="7" t="s">
        <v>648</v>
      </c>
      <c r="H81" s="7" t="s">
        <v>102</v>
      </c>
      <c r="I81" s="7" t="s">
        <v>102</v>
      </c>
      <c r="J81" s="7" t="s">
        <v>649</v>
      </c>
      <c r="K81" s="7" t="s">
        <v>650</v>
      </c>
      <c r="L81" s="12" t="s">
        <v>651</v>
      </c>
      <c r="M81" s="7" t="s">
        <v>652</v>
      </c>
    </row>
    <row r="82" customFormat="false" ht="23.25" hidden="false" customHeight="true" outlineLevel="0" collapsed="false">
      <c r="A82" s="13" t="n">
        <v>76</v>
      </c>
      <c r="B82" s="7" t="s">
        <v>653</v>
      </c>
      <c r="C82" s="7" t="s">
        <v>654</v>
      </c>
      <c r="D82" s="7" t="s">
        <v>655</v>
      </c>
      <c r="E82" s="14" t="s">
        <v>155</v>
      </c>
      <c r="F82" s="7" t="s">
        <v>136</v>
      </c>
      <c r="G82" s="7" t="s">
        <v>102</v>
      </c>
      <c r="H82" s="7" t="s">
        <v>656</v>
      </c>
      <c r="I82" s="7" t="s">
        <v>657</v>
      </c>
      <c r="J82" s="7" t="s">
        <v>658</v>
      </c>
      <c r="K82" s="7" t="s">
        <v>659</v>
      </c>
      <c r="L82" s="12" t="s">
        <v>660</v>
      </c>
      <c r="M82" s="7" t="s">
        <v>661</v>
      </c>
    </row>
    <row r="83" customFormat="false" ht="23.25" hidden="false" customHeight="true" outlineLevel="0" collapsed="false">
      <c r="A83" s="10" t="n">
        <v>76</v>
      </c>
      <c r="B83" s="7" t="s">
        <v>662</v>
      </c>
      <c r="C83" s="7" t="s">
        <v>663</v>
      </c>
      <c r="D83" s="7" t="s">
        <v>172</v>
      </c>
      <c r="E83" s="11" t="s">
        <v>72</v>
      </c>
      <c r="F83" s="7" t="s">
        <v>173</v>
      </c>
      <c r="G83" s="7" t="s">
        <v>173</v>
      </c>
      <c r="H83" s="7" t="s">
        <v>173</v>
      </c>
      <c r="I83" s="7" t="s">
        <v>174</v>
      </c>
      <c r="J83" s="7" t="s">
        <v>172</v>
      </c>
      <c r="K83" s="7" t="s">
        <v>172</v>
      </c>
      <c r="L83" s="12" t="s">
        <v>664</v>
      </c>
      <c r="M83" s="7" t="s">
        <v>176</v>
      </c>
    </row>
    <row r="84" customFormat="false" ht="34.5" hidden="false" customHeight="true" outlineLevel="0" collapsed="false">
      <c r="A84" s="15" t="n">
        <v>76</v>
      </c>
      <c r="B84" s="7" t="s">
        <v>665</v>
      </c>
      <c r="C84" s="7" t="s">
        <v>666</v>
      </c>
      <c r="D84" s="7" t="s">
        <v>172</v>
      </c>
      <c r="E84" s="16" t="s">
        <v>388</v>
      </c>
      <c r="F84" s="7" t="s">
        <v>173</v>
      </c>
      <c r="G84" s="7" t="s">
        <v>173</v>
      </c>
      <c r="H84" s="7" t="s">
        <v>173</v>
      </c>
      <c r="I84" s="7" t="s">
        <v>174</v>
      </c>
      <c r="J84" s="7" t="s">
        <v>172</v>
      </c>
      <c r="K84" s="7" t="s">
        <v>172</v>
      </c>
      <c r="L84" s="12" t="s">
        <v>667</v>
      </c>
      <c r="M84" s="7" t="s">
        <v>176</v>
      </c>
    </row>
    <row r="85" customFormat="false" ht="34.5" hidden="false" customHeight="true" outlineLevel="0" collapsed="false">
      <c r="A85" s="13" t="n">
        <v>75</v>
      </c>
      <c r="B85" s="7" t="s">
        <v>668</v>
      </c>
      <c r="C85" s="7" t="s">
        <v>669</v>
      </c>
      <c r="D85" s="7" t="s">
        <v>670</v>
      </c>
      <c r="E85" s="14" t="s">
        <v>155</v>
      </c>
      <c r="F85" s="7" t="s">
        <v>101</v>
      </c>
      <c r="G85" s="7" t="s">
        <v>671</v>
      </c>
      <c r="H85" s="7" t="s">
        <v>102</v>
      </c>
      <c r="I85" s="7" t="s">
        <v>517</v>
      </c>
      <c r="J85" s="7" t="s">
        <v>672</v>
      </c>
      <c r="K85" s="7" t="s">
        <v>673</v>
      </c>
      <c r="L85" s="12" t="s">
        <v>674</v>
      </c>
      <c r="M85" s="7" t="s">
        <v>675</v>
      </c>
    </row>
    <row r="86" customFormat="false" ht="34.5" hidden="false" customHeight="true" outlineLevel="0" collapsed="false">
      <c r="A86" s="13" t="n">
        <v>75</v>
      </c>
      <c r="B86" s="7" t="s">
        <v>676</v>
      </c>
      <c r="C86" s="7" t="s">
        <v>677</v>
      </c>
      <c r="D86" s="7" t="s">
        <v>678</v>
      </c>
      <c r="E86" s="14" t="s">
        <v>155</v>
      </c>
      <c r="F86" s="7" t="s">
        <v>73</v>
      </c>
      <c r="G86" s="7" t="s">
        <v>74</v>
      </c>
      <c r="H86" s="7" t="s">
        <v>102</v>
      </c>
      <c r="I86" s="7" t="s">
        <v>679</v>
      </c>
      <c r="J86" s="7" t="s">
        <v>680</v>
      </c>
      <c r="K86" s="7" t="s">
        <v>681</v>
      </c>
      <c r="L86" s="12" t="s">
        <v>682</v>
      </c>
      <c r="M86" s="7" t="s">
        <v>683</v>
      </c>
    </row>
    <row r="87" customFormat="false" ht="34.5" hidden="false" customHeight="true" outlineLevel="0" collapsed="false">
      <c r="A87" s="13" t="n">
        <v>75</v>
      </c>
      <c r="B87" s="7" t="s">
        <v>684</v>
      </c>
      <c r="C87" s="7" t="s">
        <v>685</v>
      </c>
      <c r="D87" s="7" t="s">
        <v>686</v>
      </c>
      <c r="E87" s="14" t="s">
        <v>155</v>
      </c>
      <c r="F87" s="7" t="s">
        <v>101</v>
      </c>
      <c r="G87" s="7" t="s">
        <v>74</v>
      </c>
      <c r="H87" s="7" t="s">
        <v>687</v>
      </c>
      <c r="I87" s="7" t="s">
        <v>337</v>
      </c>
      <c r="J87" s="7" t="s">
        <v>688</v>
      </c>
      <c r="K87" s="7" t="s">
        <v>689</v>
      </c>
      <c r="L87" s="12" t="s">
        <v>690</v>
      </c>
      <c r="M87" s="7" t="s">
        <v>691</v>
      </c>
    </row>
    <row r="88" customFormat="false" ht="34.5" hidden="false" customHeight="true" outlineLevel="0" collapsed="false">
      <c r="A88" s="13" t="n">
        <v>75</v>
      </c>
      <c r="B88" s="7" t="s">
        <v>279</v>
      </c>
      <c r="C88" s="7" t="s">
        <v>692</v>
      </c>
      <c r="D88" s="7" t="s">
        <v>693</v>
      </c>
      <c r="E88" s="14" t="s">
        <v>155</v>
      </c>
      <c r="F88" s="7" t="s">
        <v>136</v>
      </c>
      <c r="G88" s="7" t="s">
        <v>102</v>
      </c>
      <c r="H88" s="7" t="s">
        <v>694</v>
      </c>
      <c r="I88" s="7" t="s">
        <v>695</v>
      </c>
      <c r="J88" s="7" t="s">
        <v>696</v>
      </c>
      <c r="K88" s="7" t="s">
        <v>697</v>
      </c>
      <c r="L88" s="12" t="s">
        <v>698</v>
      </c>
      <c r="M88" s="7" t="s">
        <v>699</v>
      </c>
    </row>
    <row r="89" customFormat="false" ht="34.5" hidden="false" customHeight="true" outlineLevel="0" collapsed="false">
      <c r="A89" s="15" t="n">
        <v>75</v>
      </c>
      <c r="B89" s="7" t="s">
        <v>700</v>
      </c>
      <c r="C89" s="7" t="s">
        <v>701</v>
      </c>
      <c r="D89" s="7" t="s">
        <v>601</v>
      </c>
      <c r="E89" s="16" t="s">
        <v>388</v>
      </c>
      <c r="F89" s="7" t="s">
        <v>102</v>
      </c>
      <c r="G89" s="7" t="s">
        <v>102</v>
      </c>
      <c r="H89" s="7" t="s">
        <v>702</v>
      </c>
      <c r="I89" s="7" t="s">
        <v>703</v>
      </c>
      <c r="J89" s="7" t="s">
        <v>704</v>
      </c>
      <c r="K89" s="7" t="s">
        <v>705</v>
      </c>
      <c r="L89" s="12" t="s">
        <v>706</v>
      </c>
      <c r="M89" s="7" t="s">
        <v>707</v>
      </c>
    </row>
    <row r="90" customFormat="false" ht="34.5" hidden="false" customHeight="true" outlineLevel="0" collapsed="false">
      <c r="A90" s="10" t="n">
        <v>75</v>
      </c>
      <c r="B90" s="7" t="s">
        <v>708</v>
      </c>
      <c r="C90" s="7" t="s">
        <v>709</v>
      </c>
      <c r="D90" s="7" t="s">
        <v>172</v>
      </c>
      <c r="E90" s="11" t="s">
        <v>72</v>
      </c>
      <c r="F90" s="7" t="s">
        <v>173</v>
      </c>
      <c r="G90" s="7" t="s">
        <v>173</v>
      </c>
      <c r="H90" s="7" t="s">
        <v>173</v>
      </c>
      <c r="I90" s="7" t="s">
        <v>174</v>
      </c>
      <c r="J90" s="7" t="s">
        <v>172</v>
      </c>
      <c r="K90" s="7" t="s">
        <v>172</v>
      </c>
      <c r="L90" s="12" t="s">
        <v>710</v>
      </c>
      <c r="M90" s="7" t="s">
        <v>176</v>
      </c>
    </row>
    <row r="91" customFormat="false" ht="23.25" hidden="false" customHeight="true" outlineLevel="0" collapsed="false">
      <c r="A91" s="13" t="n">
        <v>75</v>
      </c>
      <c r="B91" s="7" t="s">
        <v>700</v>
      </c>
      <c r="C91" s="7" t="s">
        <v>711</v>
      </c>
      <c r="D91" s="7" t="s">
        <v>712</v>
      </c>
      <c r="E91" s="14" t="s">
        <v>155</v>
      </c>
      <c r="F91" s="7" t="s">
        <v>136</v>
      </c>
      <c r="G91" s="7" t="s">
        <v>392</v>
      </c>
      <c r="H91" s="7" t="s">
        <v>393</v>
      </c>
      <c r="I91" s="7" t="s">
        <v>394</v>
      </c>
      <c r="J91" s="7" t="s">
        <v>713</v>
      </c>
      <c r="K91" s="7" t="s">
        <v>396</v>
      </c>
      <c r="L91" s="12" t="s">
        <v>714</v>
      </c>
      <c r="M91" s="7" t="s">
        <v>398</v>
      </c>
    </row>
    <row r="92" customFormat="false" ht="34.5" hidden="false" customHeight="true" outlineLevel="0" collapsed="false">
      <c r="A92" s="13" t="n">
        <v>74</v>
      </c>
      <c r="B92" s="7" t="s">
        <v>700</v>
      </c>
      <c r="C92" s="7" t="s">
        <v>715</v>
      </c>
      <c r="D92" s="7" t="s">
        <v>716</v>
      </c>
      <c r="E92" s="14" t="s">
        <v>155</v>
      </c>
      <c r="F92" s="7" t="s">
        <v>136</v>
      </c>
      <c r="G92" s="7" t="s">
        <v>717</v>
      </c>
      <c r="H92" s="7" t="s">
        <v>102</v>
      </c>
      <c r="I92" s="7" t="s">
        <v>718</v>
      </c>
      <c r="J92" s="7" t="s">
        <v>719</v>
      </c>
      <c r="K92" s="7" t="s">
        <v>720</v>
      </c>
      <c r="L92" s="12" t="s">
        <v>721</v>
      </c>
      <c r="M92" s="7" t="s">
        <v>722</v>
      </c>
    </row>
    <row r="93" customFormat="false" ht="23.25" hidden="false" customHeight="true" outlineLevel="0" collapsed="false">
      <c r="A93" s="13" t="n">
        <v>74</v>
      </c>
      <c r="B93" s="7" t="s">
        <v>297</v>
      </c>
      <c r="C93" s="7" t="s">
        <v>723</v>
      </c>
      <c r="D93" s="7" t="s">
        <v>308</v>
      </c>
      <c r="E93" s="14" t="s">
        <v>155</v>
      </c>
      <c r="F93" s="7" t="s">
        <v>136</v>
      </c>
      <c r="G93" s="7" t="s">
        <v>724</v>
      </c>
      <c r="H93" s="7" t="s">
        <v>102</v>
      </c>
      <c r="I93" s="7" t="s">
        <v>102</v>
      </c>
      <c r="J93" s="7" t="s">
        <v>725</v>
      </c>
      <c r="K93" s="7" t="s">
        <v>726</v>
      </c>
      <c r="L93" s="12" t="s">
        <v>727</v>
      </c>
      <c r="M93" s="7" t="s">
        <v>728</v>
      </c>
    </row>
    <row r="94" customFormat="false" ht="34.5" hidden="false" customHeight="true" outlineLevel="0" collapsed="false">
      <c r="A94" s="13" t="n">
        <v>74</v>
      </c>
      <c r="B94" s="7" t="s">
        <v>729</v>
      </c>
      <c r="C94" s="7" t="s">
        <v>730</v>
      </c>
      <c r="D94" s="7" t="s">
        <v>172</v>
      </c>
      <c r="E94" s="14" t="s">
        <v>155</v>
      </c>
      <c r="F94" s="7" t="s">
        <v>173</v>
      </c>
      <c r="G94" s="7" t="s">
        <v>173</v>
      </c>
      <c r="H94" s="7" t="s">
        <v>173</v>
      </c>
      <c r="I94" s="7" t="s">
        <v>174</v>
      </c>
      <c r="J94" s="7" t="s">
        <v>172</v>
      </c>
      <c r="K94" s="7" t="s">
        <v>172</v>
      </c>
      <c r="L94" s="12" t="s">
        <v>731</v>
      </c>
      <c r="M94" s="7" t="s">
        <v>176</v>
      </c>
    </row>
    <row r="95" customFormat="false" ht="34.5" hidden="false" customHeight="true" outlineLevel="0" collapsed="false">
      <c r="A95" s="10" t="n">
        <v>74</v>
      </c>
      <c r="B95" s="7" t="s">
        <v>732</v>
      </c>
      <c r="C95" s="7" t="s">
        <v>733</v>
      </c>
      <c r="D95" s="7" t="s">
        <v>172</v>
      </c>
      <c r="E95" s="11" t="s">
        <v>72</v>
      </c>
      <c r="F95" s="7" t="s">
        <v>173</v>
      </c>
      <c r="G95" s="7" t="s">
        <v>173</v>
      </c>
      <c r="H95" s="7" t="s">
        <v>173</v>
      </c>
      <c r="I95" s="7" t="s">
        <v>174</v>
      </c>
      <c r="J95" s="7" t="s">
        <v>172</v>
      </c>
      <c r="K95" s="7" t="s">
        <v>172</v>
      </c>
      <c r="L95" s="12" t="s">
        <v>734</v>
      </c>
      <c r="M95" s="7" t="s">
        <v>176</v>
      </c>
    </row>
    <row r="96" customFormat="false" ht="34.5" hidden="false" customHeight="true" outlineLevel="0" collapsed="false">
      <c r="A96" s="10" t="n">
        <v>74</v>
      </c>
      <c r="B96" s="7" t="s">
        <v>735</v>
      </c>
      <c r="C96" s="7" t="s">
        <v>736</v>
      </c>
      <c r="D96" s="7" t="s">
        <v>172</v>
      </c>
      <c r="E96" s="11" t="s">
        <v>72</v>
      </c>
      <c r="F96" s="7" t="s">
        <v>173</v>
      </c>
      <c r="G96" s="7" t="s">
        <v>173</v>
      </c>
      <c r="H96" s="7" t="s">
        <v>173</v>
      </c>
      <c r="I96" s="7" t="s">
        <v>174</v>
      </c>
      <c r="J96" s="7" t="s">
        <v>172</v>
      </c>
      <c r="K96" s="7" t="s">
        <v>172</v>
      </c>
      <c r="L96" s="12" t="s">
        <v>737</v>
      </c>
      <c r="M96" s="7" t="s">
        <v>176</v>
      </c>
    </row>
    <row r="97" customFormat="false" ht="23.25" hidden="false" customHeight="true" outlineLevel="0" collapsed="false">
      <c r="A97" s="13" t="n">
        <v>73</v>
      </c>
      <c r="B97" s="7" t="s">
        <v>738</v>
      </c>
      <c r="C97" s="7" t="s">
        <v>739</v>
      </c>
      <c r="D97" s="7" t="s">
        <v>740</v>
      </c>
      <c r="E97" s="14" t="s">
        <v>155</v>
      </c>
      <c r="F97" s="7" t="s">
        <v>136</v>
      </c>
      <c r="G97" s="7" t="s">
        <v>741</v>
      </c>
      <c r="H97" s="7" t="s">
        <v>102</v>
      </c>
      <c r="I97" s="7" t="s">
        <v>742</v>
      </c>
      <c r="J97" s="7" t="s">
        <v>743</v>
      </c>
      <c r="K97" s="7" t="s">
        <v>744</v>
      </c>
      <c r="L97" s="12" t="s">
        <v>745</v>
      </c>
      <c r="M97" s="7" t="s">
        <v>746</v>
      </c>
    </row>
    <row r="98" customFormat="false" ht="23.25" hidden="false" customHeight="true" outlineLevel="0" collapsed="false">
      <c r="A98" s="13" t="n">
        <v>73</v>
      </c>
      <c r="B98" s="7" t="s">
        <v>747</v>
      </c>
      <c r="C98" s="7" t="s">
        <v>748</v>
      </c>
      <c r="D98" s="7" t="s">
        <v>749</v>
      </c>
      <c r="E98" s="14" t="s">
        <v>155</v>
      </c>
      <c r="F98" s="7" t="s">
        <v>136</v>
      </c>
      <c r="G98" s="7" t="s">
        <v>750</v>
      </c>
      <c r="H98" s="7" t="s">
        <v>102</v>
      </c>
      <c r="I98" s="7" t="s">
        <v>703</v>
      </c>
      <c r="J98" s="7" t="s">
        <v>751</v>
      </c>
      <c r="K98" s="7" t="s">
        <v>752</v>
      </c>
      <c r="L98" s="12" t="s">
        <v>753</v>
      </c>
      <c r="M98" s="7" t="s">
        <v>754</v>
      </c>
    </row>
    <row r="99" customFormat="false" ht="23.25" hidden="false" customHeight="true" outlineLevel="0" collapsed="false">
      <c r="A99" s="13" t="n">
        <v>73</v>
      </c>
      <c r="B99" s="7" t="s">
        <v>755</v>
      </c>
      <c r="C99" s="7" t="s">
        <v>756</v>
      </c>
      <c r="D99" s="7" t="s">
        <v>757</v>
      </c>
      <c r="E99" s="14" t="s">
        <v>155</v>
      </c>
      <c r="F99" s="7" t="s">
        <v>136</v>
      </c>
      <c r="G99" s="7" t="s">
        <v>758</v>
      </c>
      <c r="H99" s="7" t="s">
        <v>102</v>
      </c>
      <c r="I99" s="7" t="s">
        <v>759</v>
      </c>
      <c r="J99" s="7" t="s">
        <v>760</v>
      </c>
      <c r="K99" s="7" t="s">
        <v>761</v>
      </c>
      <c r="L99" s="12" t="s">
        <v>762</v>
      </c>
      <c r="M99" s="7" t="s">
        <v>763</v>
      </c>
    </row>
    <row r="100" customFormat="false" ht="34.5" hidden="false" customHeight="true" outlineLevel="0" collapsed="false">
      <c r="A100" s="13" t="n">
        <v>73</v>
      </c>
      <c r="B100" s="7" t="s">
        <v>764</v>
      </c>
      <c r="C100" s="7" t="s">
        <v>765</v>
      </c>
      <c r="D100" s="7" t="s">
        <v>766</v>
      </c>
      <c r="E100" s="14" t="s">
        <v>155</v>
      </c>
      <c r="F100" s="7" t="s">
        <v>136</v>
      </c>
      <c r="G100" s="7" t="s">
        <v>767</v>
      </c>
      <c r="H100" s="7" t="s">
        <v>102</v>
      </c>
      <c r="I100" s="7" t="s">
        <v>695</v>
      </c>
      <c r="J100" s="7" t="s">
        <v>768</v>
      </c>
      <c r="K100" s="7" t="s">
        <v>769</v>
      </c>
      <c r="L100" s="12" t="s">
        <v>770</v>
      </c>
      <c r="M100" s="7" t="s">
        <v>771</v>
      </c>
    </row>
    <row r="101" customFormat="false" ht="34.5" hidden="false" customHeight="true" outlineLevel="0" collapsed="false">
      <c r="A101" s="10" t="n">
        <v>73</v>
      </c>
      <c r="B101" s="7" t="s">
        <v>772</v>
      </c>
      <c r="C101" s="7" t="s">
        <v>773</v>
      </c>
      <c r="D101" s="7" t="s">
        <v>172</v>
      </c>
      <c r="E101" s="11" t="s">
        <v>72</v>
      </c>
      <c r="F101" s="7" t="s">
        <v>173</v>
      </c>
      <c r="G101" s="7" t="s">
        <v>173</v>
      </c>
      <c r="H101" s="7" t="s">
        <v>173</v>
      </c>
      <c r="I101" s="7" t="s">
        <v>174</v>
      </c>
      <c r="J101" s="7" t="s">
        <v>172</v>
      </c>
      <c r="K101" s="7" t="s">
        <v>172</v>
      </c>
      <c r="L101" s="12" t="s">
        <v>774</v>
      </c>
      <c r="M101" s="7" t="s">
        <v>176</v>
      </c>
    </row>
    <row r="102" customFormat="false" ht="34.5" hidden="false" customHeight="true" outlineLevel="0" collapsed="false">
      <c r="A102" s="10" t="n">
        <v>72</v>
      </c>
      <c r="B102" s="7" t="s">
        <v>775</v>
      </c>
      <c r="C102" s="7" t="s">
        <v>776</v>
      </c>
      <c r="D102" s="7" t="s">
        <v>777</v>
      </c>
      <c r="E102" s="11" t="s">
        <v>72</v>
      </c>
      <c r="F102" s="7" t="s">
        <v>101</v>
      </c>
      <c r="G102" s="7" t="s">
        <v>102</v>
      </c>
      <c r="H102" s="7" t="s">
        <v>102</v>
      </c>
      <c r="I102" s="7" t="s">
        <v>778</v>
      </c>
      <c r="J102" s="7" t="s">
        <v>779</v>
      </c>
      <c r="K102" s="7" t="s">
        <v>780</v>
      </c>
      <c r="L102" s="12" t="s">
        <v>781</v>
      </c>
      <c r="M102" s="7" t="s">
        <v>782</v>
      </c>
    </row>
    <row r="103" customFormat="false" ht="45.75" hidden="false" customHeight="true" outlineLevel="0" collapsed="false">
      <c r="A103" s="13" t="n">
        <v>72</v>
      </c>
      <c r="B103" s="7" t="s">
        <v>783</v>
      </c>
      <c r="C103" s="7" t="s">
        <v>784</v>
      </c>
      <c r="D103" s="7" t="s">
        <v>785</v>
      </c>
      <c r="E103" s="14" t="s">
        <v>155</v>
      </c>
      <c r="F103" s="7" t="s">
        <v>136</v>
      </c>
      <c r="G103" s="7" t="s">
        <v>786</v>
      </c>
      <c r="H103" s="7" t="s">
        <v>102</v>
      </c>
      <c r="I103" s="7" t="s">
        <v>787</v>
      </c>
      <c r="J103" s="7" t="s">
        <v>788</v>
      </c>
      <c r="K103" s="7" t="s">
        <v>789</v>
      </c>
      <c r="L103" s="12" t="s">
        <v>790</v>
      </c>
      <c r="M103" s="7" t="s">
        <v>791</v>
      </c>
    </row>
    <row r="104" customFormat="false" ht="57" hidden="false" customHeight="true" outlineLevel="0" collapsed="false">
      <c r="A104" s="10" t="n">
        <v>72</v>
      </c>
      <c r="B104" s="7" t="s">
        <v>792</v>
      </c>
      <c r="C104" s="7" t="s">
        <v>793</v>
      </c>
      <c r="D104" s="7" t="s">
        <v>794</v>
      </c>
      <c r="E104" s="11" t="s">
        <v>72</v>
      </c>
      <c r="F104" s="7" t="s">
        <v>136</v>
      </c>
      <c r="G104" s="7" t="s">
        <v>795</v>
      </c>
      <c r="H104" s="7" t="s">
        <v>102</v>
      </c>
      <c r="I104" s="7" t="s">
        <v>796</v>
      </c>
      <c r="J104" s="7" t="s">
        <v>797</v>
      </c>
      <c r="K104" s="7" t="s">
        <v>798</v>
      </c>
      <c r="L104" s="12" t="s">
        <v>799</v>
      </c>
      <c r="M104" s="7" t="s">
        <v>800</v>
      </c>
    </row>
    <row r="105" customFormat="false" ht="34.5" hidden="false" customHeight="true" outlineLevel="0" collapsed="false">
      <c r="A105" s="13" t="n">
        <v>72</v>
      </c>
      <c r="B105" s="7" t="s">
        <v>801</v>
      </c>
      <c r="C105" s="7" t="s">
        <v>802</v>
      </c>
      <c r="D105" s="7" t="s">
        <v>803</v>
      </c>
      <c r="E105" s="14" t="s">
        <v>155</v>
      </c>
      <c r="F105" s="7" t="s">
        <v>136</v>
      </c>
      <c r="G105" s="7" t="s">
        <v>804</v>
      </c>
      <c r="H105" s="7" t="s">
        <v>102</v>
      </c>
      <c r="I105" s="7" t="s">
        <v>102</v>
      </c>
      <c r="J105" s="7" t="s">
        <v>805</v>
      </c>
      <c r="K105" s="7" t="s">
        <v>806</v>
      </c>
      <c r="L105" s="12" t="s">
        <v>807</v>
      </c>
      <c r="M105" s="7" t="s">
        <v>808</v>
      </c>
    </row>
    <row r="106" customFormat="false" ht="34.5" hidden="false" customHeight="true" outlineLevel="0" collapsed="false">
      <c r="A106" s="10" t="n">
        <v>72</v>
      </c>
      <c r="B106" s="7" t="s">
        <v>809</v>
      </c>
      <c r="C106" s="7" t="s">
        <v>810</v>
      </c>
      <c r="D106" s="7" t="s">
        <v>172</v>
      </c>
      <c r="E106" s="11" t="s">
        <v>72</v>
      </c>
      <c r="F106" s="7" t="s">
        <v>173</v>
      </c>
      <c r="G106" s="7" t="s">
        <v>173</v>
      </c>
      <c r="H106" s="7" t="s">
        <v>173</v>
      </c>
      <c r="I106" s="7" t="s">
        <v>174</v>
      </c>
      <c r="J106" s="7" t="s">
        <v>172</v>
      </c>
      <c r="K106" s="7" t="s">
        <v>172</v>
      </c>
      <c r="L106" s="12" t="s">
        <v>811</v>
      </c>
      <c r="M106" s="7" t="s">
        <v>176</v>
      </c>
    </row>
    <row r="107" customFormat="false" ht="45.75" hidden="false" customHeight="true" outlineLevel="0" collapsed="false">
      <c r="A107" s="15" t="n">
        <v>72</v>
      </c>
      <c r="B107" s="7" t="s">
        <v>812</v>
      </c>
      <c r="C107" s="7" t="s">
        <v>813</v>
      </c>
      <c r="D107" s="7" t="s">
        <v>172</v>
      </c>
      <c r="E107" s="16" t="s">
        <v>388</v>
      </c>
      <c r="F107" s="7" t="s">
        <v>173</v>
      </c>
      <c r="G107" s="7" t="s">
        <v>173</v>
      </c>
      <c r="H107" s="7" t="s">
        <v>173</v>
      </c>
      <c r="I107" s="7" t="s">
        <v>174</v>
      </c>
      <c r="J107" s="7" t="s">
        <v>172</v>
      </c>
      <c r="K107" s="7" t="s">
        <v>172</v>
      </c>
      <c r="L107" s="12" t="s">
        <v>814</v>
      </c>
      <c r="M107" s="7" t="s">
        <v>176</v>
      </c>
    </row>
    <row r="108" customFormat="false" ht="57" hidden="false" customHeight="true" outlineLevel="0" collapsed="false">
      <c r="A108" s="15" t="n">
        <v>72</v>
      </c>
      <c r="B108" s="7" t="s">
        <v>815</v>
      </c>
      <c r="C108" s="7" t="s">
        <v>816</v>
      </c>
      <c r="D108" s="7" t="s">
        <v>172</v>
      </c>
      <c r="E108" s="16" t="s">
        <v>388</v>
      </c>
      <c r="F108" s="7" t="s">
        <v>173</v>
      </c>
      <c r="G108" s="7" t="s">
        <v>173</v>
      </c>
      <c r="H108" s="7" t="s">
        <v>173</v>
      </c>
      <c r="I108" s="7" t="s">
        <v>174</v>
      </c>
      <c r="J108" s="7" t="s">
        <v>172</v>
      </c>
      <c r="K108" s="7" t="s">
        <v>172</v>
      </c>
      <c r="L108" s="12" t="s">
        <v>817</v>
      </c>
      <c r="M108" s="7" t="s">
        <v>176</v>
      </c>
    </row>
    <row r="109" customFormat="false" ht="57" hidden="false" customHeight="true" outlineLevel="0" collapsed="false">
      <c r="A109" s="13" t="n">
        <v>71</v>
      </c>
      <c r="B109" s="7" t="s">
        <v>818</v>
      </c>
      <c r="C109" s="7" t="s">
        <v>819</v>
      </c>
      <c r="D109" s="7" t="s">
        <v>194</v>
      </c>
      <c r="E109" s="14" t="s">
        <v>155</v>
      </c>
      <c r="F109" s="7" t="s">
        <v>101</v>
      </c>
      <c r="G109" s="7" t="s">
        <v>102</v>
      </c>
      <c r="H109" s="7" t="s">
        <v>102</v>
      </c>
      <c r="I109" s="7" t="s">
        <v>820</v>
      </c>
      <c r="J109" s="7" t="s">
        <v>821</v>
      </c>
      <c r="K109" s="7" t="s">
        <v>822</v>
      </c>
      <c r="L109" s="12" t="s">
        <v>823</v>
      </c>
      <c r="M109" s="7" t="s">
        <v>824</v>
      </c>
    </row>
    <row r="110" customFormat="false" ht="45.75" hidden="false" customHeight="true" outlineLevel="0" collapsed="false">
      <c r="A110" s="10" t="n">
        <v>71</v>
      </c>
      <c r="B110" s="7" t="s">
        <v>825</v>
      </c>
      <c r="C110" s="7" t="s">
        <v>826</v>
      </c>
      <c r="D110" s="7" t="s">
        <v>172</v>
      </c>
      <c r="E110" s="11" t="s">
        <v>72</v>
      </c>
      <c r="F110" s="7" t="s">
        <v>173</v>
      </c>
      <c r="G110" s="7" t="s">
        <v>173</v>
      </c>
      <c r="H110" s="7" t="s">
        <v>173</v>
      </c>
      <c r="I110" s="7" t="s">
        <v>174</v>
      </c>
      <c r="J110" s="7" t="s">
        <v>172</v>
      </c>
      <c r="K110" s="7" t="s">
        <v>172</v>
      </c>
      <c r="L110" s="12" t="s">
        <v>827</v>
      </c>
      <c r="M110" s="7" t="s">
        <v>176</v>
      </c>
    </row>
    <row r="111" customFormat="false" ht="23.25" hidden="false" customHeight="true" outlineLevel="0" collapsed="false">
      <c r="A111" s="10" t="n">
        <v>71</v>
      </c>
      <c r="B111" s="7" t="s">
        <v>828</v>
      </c>
      <c r="C111" s="7" t="s">
        <v>829</v>
      </c>
      <c r="D111" s="7" t="s">
        <v>172</v>
      </c>
      <c r="E111" s="11" t="s">
        <v>72</v>
      </c>
      <c r="F111" s="7" t="s">
        <v>173</v>
      </c>
      <c r="G111" s="7" t="s">
        <v>173</v>
      </c>
      <c r="H111" s="7" t="s">
        <v>173</v>
      </c>
      <c r="I111" s="7" t="s">
        <v>174</v>
      </c>
      <c r="J111" s="7" t="s">
        <v>172</v>
      </c>
      <c r="K111" s="7" t="s">
        <v>172</v>
      </c>
      <c r="L111" s="12" t="s">
        <v>830</v>
      </c>
      <c r="M111" s="7" t="s">
        <v>176</v>
      </c>
    </row>
    <row r="112" customFormat="false" ht="34.5" hidden="false" customHeight="true" outlineLevel="0" collapsed="false">
      <c r="A112" s="15" t="n">
        <v>71</v>
      </c>
      <c r="B112" s="7" t="s">
        <v>831</v>
      </c>
      <c r="C112" s="7" t="s">
        <v>832</v>
      </c>
      <c r="D112" s="7" t="s">
        <v>172</v>
      </c>
      <c r="E112" s="16" t="s">
        <v>388</v>
      </c>
      <c r="F112" s="7" t="s">
        <v>173</v>
      </c>
      <c r="G112" s="7" t="s">
        <v>173</v>
      </c>
      <c r="H112" s="7" t="s">
        <v>173</v>
      </c>
      <c r="I112" s="7" t="s">
        <v>174</v>
      </c>
      <c r="J112" s="7" t="s">
        <v>172</v>
      </c>
      <c r="K112" s="7" t="s">
        <v>172</v>
      </c>
      <c r="L112" s="12" t="s">
        <v>833</v>
      </c>
      <c r="M112" s="7" t="s">
        <v>176</v>
      </c>
    </row>
    <row r="113" customFormat="false" ht="34.5" hidden="false" customHeight="true" outlineLevel="0" collapsed="false">
      <c r="A113" s="13" t="n">
        <v>71</v>
      </c>
      <c r="B113" s="7" t="s">
        <v>834</v>
      </c>
      <c r="C113" s="7" t="s">
        <v>835</v>
      </c>
      <c r="D113" s="7" t="s">
        <v>172</v>
      </c>
      <c r="E113" s="14" t="s">
        <v>155</v>
      </c>
      <c r="F113" s="7" t="s">
        <v>173</v>
      </c>
      <c r="G113" s="7" t="s">
        <v>173</v>
      </c>
      <c r="H113" s="7" t="s">
        <v>173</v>
      </c>
      <c r="I113" s="7" t="s">
        <v>174</v>
      </c>
      <c r="J113" s="7" t="s">
        <v>172</v>
      </c>
      <c r="K113" s="7" t="s">
        <v>172</v>
      </c>
      <c r="L113" s="12" t="s">
        <v>836</v>
      </c>
      <c r="M113" s="7" t="s">
        <v>176</v>
      </c>
    </row>
    <row r="114" customFormat="false" ht="34.5" hidden="false" customHeight="true" outlineLevel="0" collapsed="false">
      <c r="A114" s="10" t="n">
        <v>71</v>
      </c>
      <c r="B114" s="7" t="s">
        <v>837</v>
      </c>
      <c r="C114" s="7" t="s">
        <v>838</v>
      </c>
      <c r="D114" s="7" t="s">
        <v>839</v>
      </c>
      <c r="E114" s="11" t="s">
        <v>72</v>
      </c>
      <c r="F114" s="7" t="s">
        <v>101</v>
      </c>
      <c r="G114" s="7" t="s">
        <v>840</v>
      </c>
      <c r="H114" s="7" t="s">
        <v>102</v>
      </c>
      <c r="I114" s="7" t="s">
        <v>841</v>
      </c>
      <c r="J114" s="7" t="s">
        <v>842</v>
      </c>
      <c r="K114" s="7" t="s">
        <v>843</v>
      </c>
      <c r="L114" s="12" t="s">
        <v>844</v>
      </c>
      <c r="M114" s="7" t="s">
        <v>845</v>
      </c>
    </row>
    <row r="115" customFormat="false" ht="34.5" hidden="false" customHeight="true" outlineLevel="0" collapsed="false">
      <c r="A115" s="10" t="n">
        <v>70</v>
      </c>
      <c r="B115" s="7" t="s">
        <v>846</v>
      </c>
      <c r="C115" s="7" t="s">
        <v>847</v>
      </c>
      <c r="D115" s="7" t="s">
        <v>848</v>
      </c>
      <c r="E115" s="11" t="s">
        <v>72</v>
      </c>
      <c r="F115" s="7" t="s">
        <v>136</v>
      </c>
      <c r="G115" s="7" t="s">
        <v>849</v>
      </c>
      <c r="H115" s="7" t="s">
        <v>102</v>
      </c>
      <c r="I115" s="7" t="s">
        <v>236</v>
      </c>
      <c r="J115" s="7" t="s">
        <v>850</v>
      </c>
      <c r="K115" s="7" t="s">
        <v>851</v>
      </c>
      <c r="L115" s="12" t="s">
        <v>852</v>
      </c>
      <c r="M115" s="7" t="s">
        <v>853</v>
      </c>
    </row>
    <row r="116" customFormat="false" ht="23.25" hidden="false" customHeight="true" outlineLevel="0" collapsed="false">
      <c r="A116" s="15" t="n">
        <v>70</v>
      </c>
      <c r="B116" s="7" t="s">
        <v>297</v>
      </c>
      <c r="C116" s="7" t="s">
        <v>854</v>
      </c>
      <c r="D116" s="7" t="s">
        <v>172</v>
      </c>
      <c r="E116" s="16" t="s">
        <v>388</v>
      </c>
      <c r="F116" s="7" t="s">
        <v>173</v>
      </c>
      <c r="G116" s="7" t="s">
        <v>173</v>
      </c>
      <c r="H116" s="7" t="s">
        <v>173</v>
      </c>
      <c r="I116" s="7" t="s">
        <v>174</v>
      </c>
      <c r="J116" s="7" t="s">
        <v>172</v>
      </c>
      <c r="K116" s="7" t="s">
        <v>172</v>
      </c>
      <c r="L116" s="12" t="s">
        <v>855</v>
      </c>
      <c r="M116" s="7" t="s">
        <v>176</v>
      </c>
    </row>
    <row r="117" customFormat="false" ht="23.25" hidden="false" customHeight="true" outlineLevel="0" collapsed="false">
      <c r="A117" s="15" t="n">
        <v>70</v>
      </c>
      <c r="B117" s="7" t="s">
        <v>856</v>
      </c>
      <c r="C117" s="7" t="s">
        <v>857</v>
      </c>
      <c r="D117" s="7" t="s">
        <v>172</v>
      </c>
      <c r="E117" s="16" t="s">
        <v>388</v>
      </c>
      <c r="F117" s="7" t="s">
        <v>173</v>
      </c>
      <c r="G117" s="7" t="s">
        <v>173</v>
      </c>
      <c r="H117" s="7" t="s">
        <v>173</v>
      </c>
      <c r="I117" s="7" t="s">
        <v>174</v>
      </c>
      <c r="J117" s="7" t="s">
        <v>172</v>
      </c>
      <c r="K117" s="7" t="s">
        <v>172</v>
      </c>
      <c r="L117" s="12" t="s">
        <v>858</v>
      </c>
      <c r="M117" s="7" t="s">
        <v>176</v>
      </c>
    </row>
    <row r="118" customFormat="false" ht="45.75" hidden="false" customHeight="true" outlineLevel="0" collapsed="false">
      <c r="A118" s="10" t="n">
        <v>70</v>
      </c>
      <c r="B118" s="7" t="s">
        <v>859</v>
      </c>
      <c r="C118" s="7" t="s">
        <v>709</v>
      </c>
      <c r="D118" s="7" t="s">
        <v>172</v>
      </c>
      <c r="E118" s="11" t="s">
        <v>72</v>
      </c>
      <c r="F118" s="7" t="s">
        <v>173</v>
      </c>
      <c r="G118" s="7" t="s">
        <v>173</v>
      </c>
      <c r="H118" s="7" t="s">
        <v>173</v>
      </c>
      <c r="I118" s="7" t="s">
        <v>174</v>
      </c>
      <c r="J118" s="7" t="s">
        <v>172</v>
      </c>
      <c r="K118" s="7" t="s">
        <v>172</v>
      </c>
      <c r="L118" s="12" t="s">
        <v>860</v>
      </c>
      <c r="M118" s="7" t="s">
        <v>176</v>
      </c>
    </row>
    <row r="119" customFormat="false" ht="34.5" hidden="false" customHeight="true" outlineLevel="0" collapsed="false">
      <c r="A119" s="13" t="n">
        <v>70</v>
      </c>
      <c r="B119" s="7" t="s">
        <v>861</v>
      </c>
      <c r="C119" s="7" t="s">
        <v>862</v>
      </c>
      <c r="D119" s="7" t="s">
        <v>863</v>
      </c>
      <c r="E119" s="14" t="s">
        <v>155</v>
      </c>
      <c r="F119" s="7" t="s">
        <v>136</v>
      </c>
      <c r="G119" s="7" t="s">
        <v>864</v>
      </c>
      <c r="H119" s="7" t="s">
        <v>102</v>
      </c>
      <c r="I119" s="7" t="s">
        <v>434</v>
      </c>
      <c r="J119" s="7" t="s">
        <v>865</v>
      </c>
      <c r="K119" s="7" t="s">
        <v>866</v>
      </c>
      <c r="L119" s="12" t="s">
        <v>867</v>
      </c>
      <c r="M119" s="7" t="s">
        <v>868</v>
      </c>
    </row>
    <row r="120" customFormat="false" ht="45.75" hidden="false" customHeight="true" outlineLevel="0" collapsed="false">
      <c r="A120" s="15" t="n">
        <v>69</v>
      </c>
      <c r="B120" s="7" t="s">
        <v>869</v>
      </c>
      <c r="C120" s="7" t="s">
        <v>870</v>
      </c>
      <c r="D120" s="7" t="s">
        <v>871</v>
      </c>
      <c r="E120" s="16" t="s">
        <v>388</v>
      </c>
      <c r="F120" s="7" t="s">
        <v>136</v>
      </c>
      <c r="G120" s="7" t="s">
        <v>872</v>
      </c>
      <c r="H120" s="7" t="s">
        <v>102</v>
      </c>
      <c r="I120" s="7" t="s">
        <v>624</v>
      </c>
      <c r="J120" s="7" t="s">
        <v>873</v>
      </c>
      <c r="K120" s="7" t="s">
        <v>874</v>
      </c>
      <c r="L120" s="12" t="s">
        <v>875</v>
      </c>
      <c r="M120" s="7" t="s">
        <v>876</v>
      </c>
    </row>
    <row r="121" customFormat="false" ht="45.75" hidden="false" customHeight="true" outlineLevel="0" collapsed="false">
      <c r="A121" s="13" t="n">
        <v>68</v>
      </c>
      <c r="B121" s="7" t="s">
        <v>877</v>
      </c>
      <c r="C121" s="7" t="s">
        <v>878</v>
      </c>
      <c r="D121" s="7" t="s">
        <v>879</v>
      </c>
      <c r="E121" s="14" t="s">
        <v>155</v>
      </c>
      <c r="F121" s="7" t="s">
        <v>136</v>
      </c>
      <c r="G121" s="7" t="s">
        <v>880</v>
      </c>
      <c r="H121" s="7" t="s">
        <v>102</v>
      </c>
      <c r="I121" s="7" t="s">
        <v>624</v>
      </c>
      <c r="J121" s="7" t="s">
        <v>881</v>
      </c>
      <c r="K121" s="7" t="s">
        <v>882</v>
      </c>
      <c r="L121" s="12" t="s">
        <v>883</v>
      </c>
      <c r="M121" s="7" t="s">
        <v>884</v>
      </c>
    </row>
    <row r="122" customFormat="false" ht="45.75" hidden="false" customHeight="true" outlineLevel="0" collapsed="false">
      <c r="A122" s="13" t="n">
        <v>68</v>
      </c>
      <c r="B122" s="7" t="s">
        <v>885</v>
      </c>
      <c r="C122" s="7" t="s">
        <v>886</v>
      </c>
      <c r="D122" s="7" t="s">
        <v>887</v>
      </c>
      <c r="E122" s="14" t="s">
        <v>155</v>
      </c>
      <c r="F122" s="7" t="s">
        <v>136</v>
      </c>
      <c r="G122" s="7" t="s">
        <v>888</v>
      </c>
      <c r="H122" s="7" t="s">
        <v>102</v>
      </c>
      <c r="I122" s="7" t="s">
        <v>778</v>
      </c>
      <c r="J122" s="7" t="s">
        <v>889</v>
      </c>
      <c r="K122" s="7" t="s">
        <v>890</v>
      </c>
      <c r="L122" s="12" t="s">
        <v>891</v>
      </c>
      <c r="M122" s="7" t="s">
        <v>892</v>
      </c>
    </row>
    <row r="123" customFormat="false" ht="45.75" hidden="false" customHeight="true" outlineLevel="0" collapsed="false">
      <c r="A123" s="15" t="n">
        <v>68</v>
      </c>
      <c r="B123" s="7" t="s">
        <v>893</v>
      </c>
      <c r="C123" s="7" t="s">
        <v>894</v>
      </c>
      <c r="D123" s="7" t="s">
        <v>172</v>
      </c>
      <c r="E123" s="16" t="s">
        <v>388</v>
      </c>
      <c r="F123" s="7" t="s">
        <v>173</v>
      </c>
      <c r="G123" s="7" t="s">
        <v>173</v>
      </c>
      <c r="H123" s="7" t="s">
        <v>173</v>
      </c>
      <c r="I123" s="7" t="s">
        <v>174</v>
      </c>
      <c r="J123" s="7" t="s">
        <v>172</v>
      </c>
      <c r="K123" s="7" t="s">
        <v>172</v>
      </c>
      <c r="L123" s="12" t="s">
        <v>895</v>
      </c>
      <c r="M123" s="7" t="s">
        <v>176</v>
      </c>
    </row>
    <row r="124" customFormat="false" ht="57" hidden="false" customHeight="true" outlineLevel="0" collapsed="false">
      <c r="A124" s="10" t="n">
        <v>68</v>
      </c>
      <c r="B124" s="7" t="s">
        <v>896</v>
      </c>
      <c r="C124" s="7" t="s">
        <v>897</v>
      </c>
      <c r="D124" s="7" t="s">
        <v>172</v>
      </c>
      <c r="E124" s="11" t="s">
        <v>72</v>
      </c>
      <c r="F124" s="7" t="s">
        <v>173</v>
      </c>
      <c r="G124" s="7" t="s">
        <v>173</v>
      </c>
      <c r="H124" s="7" t="s">
        <v>173</v>
      </c>
      <c r="I124" s="7" t="s">
        <v>174</v>
      </c>
      <c r="J124" s="7" t="s">
        <v>172</v>
      </c>
      <c r="K124" s="7" t="s">
        <v>172</v>
      </c>
      <c r="L124" s="12" t="s">
        <v>898</v>
      </c>
      <c r="M124" s="7" t="s">
        <v>176</v>
      </c>
    </row>
    <row r="125" customFormat="false" ht="23.25" hidden="false" customHeight="true" outlineLevel="0" collapsed="false">
      <c r="A125" s="13" t="n">
        <v>67</v>
      </c>
      <c r="B125" s="7" t="s">
        <v>899</v>
      </c>
      <c r="C125" s="7" t="s">
        <v>900</v>
      </c>
      <c r="D125" s="7" t="s">
        <v>172</v>
      </c>
      <c r="E125" s="14" t="s">
        <v>155</v>
      </c>
      <c r="F125" s="7" t="s">
        <v>173</v>
      </c>
      <c r="G125" s="7" t="s">
        <v>173</v>
      </c>
      <c r="H125" s="7" t="s">
        <v>173</v>
      </c>
      <c r="I125" s="7" t="s">
        <v>174</v>
      </c>
      <c r="J125" s="7" t="s">
        <v>172</v>
      </c>
      <c r="K125" s="7" t="s">
        <v>172</v>
      </c>
      <c r="L125" s="12" t="s">
        <v>901</v>
      </c>
      <c r="M125" s="7" t="s">
        <v>176</v>
      </c>
    </row>
    <row r="126" customFormat="false" ht="34.5" hidden="false" customHeight="true" outlineLevel="0" collapsed="false">
      <c r="A126" s="13" t="n">
        <v>66</v>
      </c>
      <c r="B126" s="7" t="s">
        <v>902</v>
      </c>
      <c r="C126" s="7" t="s">
        <v>903</v>
      </c>
      <c r="D126" s="7" t="s">
        <v>904</v>
      </c>
      <c r="E126" s="14" t="s">
        <v>155</v>
      </c>
      <c r="F126" s="7" t="s">
        <v>136</v>
      </c>
      <c r="G126" s="7" t="s">
        <v>417</v>
      </c>
      <c r="H126" s="7" t="s">
        <v>905</v>
      </c>
      <c r="I126" s="7" t="s">
        <v>102</v>
      </c>
      <c r="J126" s="7" t="s">
        <v>906</v>
      </c>
      <c r="K126" s="7" t="s">
        <v>907</v>
      </c>
      <c r="L126" s="12" t="s">
        <v>908</v>
      </c>
      <c r="M126" s="7" t="s">
        <v>909</v>
      </c>
    </row>
    <row r="127" customFormat="false" ht="34.5" hidden="false" customHeight="true" outlineLevel="0" collapsed="false">
      <c r="A127" s="13" t="n">
        <v>66</v>
      </c>
      <c r="B127" s="7" t="s">
        <v>910</v>
      </c>
      <c r="C127" s="7" t="s">
        <v>911</v>
      </c>
      <c r="D127" s="7" t="s">
        <v>912</v>
      </c>
      <c r="E127" s="14" t="s">
        <v>155</v>
      </c>
      <c r="F127" s="7" t="s">
        <v>136</v>
      </c>
      <c r="G127" s="7" t="s">
        <v>880</v>
      </c>
      <c r="H127" s="7" t="s">
        <v>102</v>
      </c>
      <c r="I127" s="7" t="s">
        <v>913</v>
      </c>
      <c r="J127" s="7" t="s">
        <v>914</v>
      </c>
      <c r="K127" s="7" t="s">
        <v>915</v>
      </c>
      <c r="L127" s="12" t="s">
        <v>916</v>
      </c>
      <c r="M127" s="7" t="s">
        <v>917</v>
      </c>
    </row>
    <row r="128" customFormat="false" ht="34.5" hidden="false" customHeight="true" outlineLevel="0" collapsed="false">
      <c r="A128" s="13" t="n">
        <v>66</v>
      </c>
      <c r="B128" s="7" t="s">
        <v>918</v>
      </c>
      <c r="C128" s="7" t="s">
        <v>919</v>
      </c>
      <c r="D128" s="7" t="s">
        <v>920</v>
      </c>
      <c r="E128" s="14" t="s">
        <v>155</v>
      </c>
      <c r="F128" s="7" t="s">
        <v>136</v>
      </c>
      <c r="G128" s="7" t="s">
        <v>921</v>
      </c>
      <c r="H128" s="7" t="s">
        <v>102</v>
      </c>
      <c r="I128" s="7" t="s">
        <v>922</v>
      </c>
      <c r="J128" s="7" t="s">
        <v>923</v>
      </c>
      <c r="K128" s="7" t="s">
        <v>924</v>
      </c>
      <c r="L128" s="12" t="s">
        <v>925</v>
      </c>
      <c r="M128" s="7" t="s">
        <v>926</v>
      </c>
    </row>
    <row r="129" customFormat="false" ht="34.5" hidden="false" customHeight="true" outlineLevel="0" collapsed="false">
      <c r="A129" s="13" t="n">
        <v>66</v>
      </c>
      <c r="B129" s="7" t="s">
        <v>927</v>
      </c>
      <c r="C129" s="7" t="s">
        <v>928</v>
      </c>
      <c r="D129" s="7" t="s">
        <v>929</v>
      </c>
      <c r="E129" s="14" t="s">
        <v>155</v>
      </c>
      <c r="F129" s="7" t="s">
        <v>136</v>
      </c>
      <c r="G129" s="7" t="s">
        <v>930</v>
      </c>
      <c r="H129" s="7" t="s">
        <v>102</v>
      </c>
      <c r="I129" s="7" t="s">
        <v>558</v>
      </c>
      <c r="J129" s="7" t="s">
        <v>931</v>
      </c>
      <c r="K129" s="7" t="s">
        <v>932</v>
      </c>
      <c r="L129" s="12" t="s">
        <v>933</v>
      </c>
      <c r="M129" s="7" t="s">
        <v>934</v>
      </c>
    </row>
    <row r="130" customFormat="false" ht="34.5" hidden="false" customHeight="true" outlineLevel="0" collapsed="false">
      <c r="A130" s="10" t="n">
        <v>66</v>
      </c>
      <c r="B130" s="7" t="s">
        <v>935</v>
      </c>
      <c r="C130" s="7" t="s">
        <v>709</v>
      </c>
      <c r="D130" s="7" t="s">
        <v>172</v>
      </c>
      <c r="E130" s="11" t="s">
        <v>72</v>
      </c>
      <c r="F130" s="7" t="s">
        <v>173</v>
      </c>
      <c r="G130" s="7" t="s">
        <v>173</v>
      </c>
      <c r="H130" s="7" t="s">
        <v>173</v>
      </c>
      <c r="I130" s="7" t="s">
        <v>174</v>
      </c>
      <c r="J130" s="7" t="s">
        <v>172</v>
      </c>
      <c r="K130" s="7" t="s">
        <v>172</v>
      </c>
      <c r="L130" s="12" t="s">
        <v>936</v>
      </c>
      <c r="M130" s="7" t="s">
        <v>176</v>
      </c>
    </row>
    <row r="131" customFormat="false" ht="23.25" hidden="false" customHeight="true" outlineLevel="0" collapsed="false">
      <c r="A131" s="13" t="n">
        <v>66</v>
      </c>
      <c r="B131" s="7" t="s">
        <v>937</v>
      </c>
      <c r="C131" s="7" t="s">
        <v>938</v>
      </c>
      <c r="D131" s="7" t="s">
        <v>939</v>
      </c>
      <c r="E131" s="14" t="s">
        <v>155</v>
      </c>
      <c r="F131" s="7" t="s">
        <v>136</v>
      </c>
      <c r="G131" s="7" t="s">
        <v>392</v>
      </c>
      <c r="H131" s="7" t="s">
        <v>393</v>
      </c>
      <c r="I131" s="7" t="s">
        <v>394</v>
      </c>
      <c r="J131" s="7" t="s">
        <v>940</v>
      </c>
      <c r="K131" s="7" t="s">
        <v>396</v>
      </c>
      <c r="L131" s="12" t="s">
        <v>941</v>
      </c>
      <c r="M131" s="7" t="s">
        <v>398</v>
      </c>
    </row>
    <row r="132" customFormat="false" ht="23.25" hidden="false" customHeight="true" outlineLevel="0" collapsed="false">
      <c r="A132" s="13" t="n">
        <v>65</v>
      </c>
      <c r="B132" s="7" t="s">
        <v>942</v>
      </c>
      <c r="C132" s="7" t="s">
        <v>943</v>
      </c>
      <c r="D132" s="7" t="s">
        <v>944</v>
      </c>
      <c r="E132" s="14" t="s">
        <v>155</v>
      </c>
      <c r="F132" s="7" t="s">
        <v>136</v>
      </c>
      <c r="G132" s="7" t="s">
        <v>945</v>
      </c>
      <c r="H132" s="7" t="s">
        <v>102</v>
      </c>
      <c r="I132" s="7" t="s">
        <v>604</v>
      </c>
      <c r="J132" s="7" t="s">
        <v>946</v>
      </c>
      <c r="K132" s="7" t="s">
        <v>947</v>
      </c>
      <c r="L132" s="12" t="s">
        <v>948</v>
      </c>
      <c r="M132" s="7" t="s">
        <v>949</v>
      </c>
    </row>
    <row r="133" customFormat="false" ht="23.25" hidden="false" customHeight="true" outlineLevel="0" collapsed="false">
      <c r="A133" s="15" t="n">
        <v>65</v>
      </c>
      <c r="B133" s="7" t="s">
        <v>279</v>
      </c>
      <c r="C133" s="7" t="s">
        <v>950</v>
      </c>
      <c r="D133" s="7" t="s">
        <v>951</v>
      </c>
      <c r="E133" s="16" t="s">
        <v>388</v>
      </c>
      <c r="F133" s="7" t="s">
        <v>136</v>
      </c>
      <c r="G133" s="7" t="s">
        <v>952</v>
      </c>
      <c r="H133" s="7" t="s">
        <v>102</v>
      </c>
      <c r="I133" s="7" t="s">
        <v>953</v>
      </c>
      <c r="J133" s="7" t="s">
        <v>954</v>
      </c>
      <c r="K133" s="7" t="s">
        <v>955</v>
      </c>
      <c r="L133" s="12" t="s">
        <v>956</v>
      </c>
      <c r="M133" s="7" t="s">
        <v>957</v>
      </c>
    </row>
    <row r="134" customFormat="false" ht="23.25" hidden="false" customHeight="true" outlineLevel="0" collapsed="false">
      <c r="A134" s="10" t="n">
        <v>65</v>
      </c>
      <c r="B134" s="7" t="s">
        <v>958</v>
      </c>
      <c r="C134" s="7" t="s">
        <v>959</v>
      </c>
      <c r="D134" s="7" t="s">
        <v>172</v>
      </c>
      <c r="E134" s="11" t="s">
        <v>72</v>
      </c>
      <c r="F134" s="7" t="s">
        <v>173</v>
      </c>
      <c r="G134" s="7" t="s">
        <v>173</v>
      </c>
      <c r="H134" s="7" t="s">
        <v>173</v>
      </c>
      <c r="I134" s="7" t="s">
        <v>174</v>
      </c>
      <c r="J134" s="7" t="s">
        <v>172</v>
      </c>
      <c r="K134" s="7" t="s">
        <v>172</v>
      </c>
      <c r="L134" s="12" t="s">
        <v>960</v>
      </c>
      <c r="M134" s="7" t="s">
        <v>176</v>
      </c>
    </row>
    <row r="135" customFormat="false" ht="23.25" hidden="false" customHeight="true" outlineLevel="0" collapsed="false">
      <c r="A135" s="13" t="n">
        <v>63</v>
      </c>
      <c r="B135" s="7" t="s">
        <v>961</v>
      </c>
      <c r="C135" s="7" t="s">
        <v>962</v>
      </c>
      <c r="D135" s="7" t="s">
        <v>963</v>
      </c>
      <c r="E135" s="14" t="s">
        <v>155</v>
      </c>
      <c r="F135" s="7" t="s">
        <v>136</v>
      </c>
      <c r="G135" s="7" t="s">
        <v>964</v>
      </c>
      <c r="H135" s="7" t="s">
        <v>102</v>
      </c>
      <c r="I135" s="7" t="s">
        <v>102</v>
      </c>
      <c r="J135" s="7" t="s">
        <v>965</v>
      </c>
      <c r="K135" s="7" t="s">
        <v>966</v>
      </c>
      <c r="L135" s="12" t="s">
        <v>967</v>
      </c>
      <c r="M135" s="7" t="s">
        <v>968</v>
      </c>
    </row>
    <row r="136" customFormat="false" ht="34.5" hidden="false" customHeight="true" outlineLevel="0" collapsed="false">
      <c r="A136" s="13" t="n">
        <v>63</v>
      </c>
      <c r="B136" s="7" t="s">
        <v>969</v>
      </c>
      <c r="C136" s="7" t="s">
        <v>970</v>
      </c>
      <c r="D136" s="7" t="s">
        <v>971</v>
      </c>
      <c r="E136" s="14" t="s">
        <v>155</v>
      </c>
      <c r="F136" s="7" t="s">
        <v>136</v>
      </c>
      <c r="G136" s="7" t="s">
        <v>102</v>
      </c>
      <c r="H136" s="7" t="s">
        <v>972</v>
      </c>
      <c r="I136" s="7" t="s">
        <v>973</v>
      </c>
      <c r="J136" s="7" t="s">
        <v>974</v>
      </c>
      <c r="K136" s="7" t="s">
        <v>975</v>
      </c>
      <c r="L136" s="12" t="s">
        <v>976</v>
      </c>
      <c r="M136" s="7" t="s">
        <v>977</v>
      </c>
    </row>
    <row r="137" customFormat="false" ht="23.25" hidden="false" customHeight="true" outlineLevel="0" collapsed="false">
      <c r="A137" s="10" t="n">
        <v>63</v>
      </c>
      <c r="B137" s="7" t="s">
        <v>978</v>
      </c>
      <c r="C137" s="7" t="s">
        <v>979</v>
      </c>
      <c r="D137" s="7" t="s">
        <v>172</v>
      </c>
      <c r="E137" s="11" t="s">
        <v>72</v>
      </c>
      <c r="F137" s="7" t="s">
        <v>173</v>
      </c>
      <c r="G137" s="7" t="s">
        <v>173</v>
      </c>
      <c r="H137" s="7" t="s">
        <v>173</v>
      </c>
      <c r="I137" s="7" t="s">
        <v>174</v>
      </c>
      <c r="J137" s="7" t="s">
        <v>172</v>
      </c>
      <c r="K137" s="7" t="s">
        <v>172</v>
      </c>
      <c r="L137" s="12" t="s">
        <v>980</v>
      </c>
      <c r="M137" s="7" t="s">
        <v>176</v>
      </c>
    </row>
    <row r="138" customFormat="false" ht="34.5" hidden="false" customHeight="true" outlineLevel="0" collapsed="false">
      <c r="A138" s="10" t="n">
        <v>62</v>
      </c>
      <c r="B138" s="7" t="s">
        <v>981</v>
      </c>
      <c r="C138" s="7" t="s">
        <v>982</v>
      </c>
      <c r="D138" s="7" t="s">
        <v>172</v>
      </c>
      <c r="E138" s="11" t="s">
        <v>72</v>
      </c>
      <c r="F138" s="7" t="s">
        <v>173</v>
      </c>
      <c r="G138" s="7" t="s">
        <v>173</v>
      </c>
      <c r="H138" s="7" t="s">
        <v>173</v>
      </c>
      <c r="I138" s="7" t="s">
        <v>174</v>
      </c>
      <c r="J138" s="7" t="s">
        <v>172</v>
      </c>
      <c r="K138" s="7" t="s">
        <v>172</v>
      </c>
      <c r="L138" s="12" t="s">
        <v>983</v>
      </c>
      <c r="M138" s="7" t="s">
        <v>176</v>
      </c>
    </row>
    <row r="139" customFormat="false" ht="34.5" hidden="false" customHeight="true" outlineLevel="0" collapsed="false">
      <c r="A139" s="15" t="n">
        <v>62</v>
      </c>
      <c r="B139" s="7" t="s">
        <v>984</v>
      </c>
      <c r="C139" s="7" t="s">
        <v>985</v>
      </c>
      <c r="D139" s="7" t="s">
        <v>172</v>
      </c>
      <c r="E139" s="16" t="s">
        <v>388</v>
      </c>
      <c r="F139" s="7" t="s">
        <v>173</v>
      </c>
      <c r="G139" s="7" t="s">
        <v>173</v>
      </c>
      <c r="H139" s="7" t="s">
        <v>173</v>
      </c>
      <c r="I139" s="7" t="s">
        <v>174</v>
      </c>
      <c r="J139" s="7" t="s">
        <v>172</v>
      </c>
      <c r="K139" s="7" t="s">
        <v>172</v>
      </c>
      <c r="L139" s="12" t="s">
        <v>986</v>
      </c>
      <c r="M139" s="7" t="s">
        <v>176</v>
      </c>
    </row>
    <row r="140" customFormat="false" ht="45.75" hidden="false" customHeight="true" outlineLevel="0" collapsed="false">
      <c r="A140" s="13" t="n">
        <v>61</v>
      </c>
      <c r="B140" s="7" t="s">
        <v>987</v>
      </c>
      <c r="C140" s="7" t="s">
        <v>988</v>
      </c>
      <c r="D140" s="7" t="s">
        <v>989</v>
      </c>
      <c r="E140" s="14" t="s">
        <v>155</v>
      </c>
      <c r="F140" s="7" t="s">
        <v>136</v>
      </c>
      <c r="G140" s="7" t="s">
        <v>990</v>
      </c>
      <c r="H140" s="7" t="s">
        <v>102</v>
      </c>
      <c r="I140" s="7" t="s">
        <v>991</v>
      </c>
      <c r="J140" s="7" t="s">
        <v>992</v>
      </c>
      <c r="K140" s="7" t="s">
        <v>993</v>
      </c>
      <c r="L140" s="12" t="s">
        <v>994</v>
      </c>
      <c r="M140" s="7" t="s">
        <v>995</v>
      </c>
    </row>
    <row r="141" customFormat="false" ht="34.5" hidden="false" customHeight="true" outlineLevel="0" collapsed="false">
      <c r="A141" s="10" t="n">
        <v>61</v>
      </c>
      <c r="B141" s="7" t="s">
        <v>996</v>
      </c>
      <c r="C141" s="7" t="s">
        <v>997</v>
      </c>
      <c r="D141" s="7" t="s">
        <v>172</v>
      </c>
      <c r="E141" s="11" t="s">
        <v>72</v>
      </c>
      <c r="F141" s="7" t="s">
        <v>173</v>
      </c>
      <c r="G141" s="7" t="s">
        <v>173</v>
      </c>
      <c r="H141" s="7" t="s">
        <v>173</v>
      </c>
      <c r="I141" s="7" t="s">
        <v>174</v>
      </c>
      <c r="J141" s="7" t="s">
        <v>172</v>
      </c>
      <c r="K141" s="7" t="s">
        <v>172</v>
      </c>
      <c r="L141" s="12" t="s">
        <v>998</v>
      </c>
      <c r="M141" s="7" t="s">
        <v>176</v>
      </c>
    </row>
    <row r="142" customFormat="false" ht="23.25" hidden="false" customHeight="true" outlineLevel="0" collapsed="false">
      <c r="A142" s="13" t="n">
        <v>60</v>
      </c>
      <c r="B142" s="7" t="s">
        <v>999</v>
      </c>
      <c r="C142" s="7" t="s">
        <v>1000</v>
      </c>
      <c r="D142" s="7" t="s">
        <v>879</v>
      </c>
      <c r="E142" s="14" t="s">
        <v>155</v>
      </c>
      <c r="F142" s="7" t="s">
        <v>136</v>
      </c>
      <c r="G142" s="7" t="s">
        <v>1001</v>
      </c>
      <c r="H142" s="7" t="s">
        <v>1002</v>
      </c>
      <c r="I142" s="7" t="s">
        <v>1003</v>
      </c>
      <c r="J142" s="7" t="s">
        <v>1004</v>
      </c>
      <c r="K142" s="7" t="s">
        <v>1005</v>
      </c>
      <c r="L142" s="12" t="s">
        <v>1006</v>
      </c>
      <c r="M142" s="7" t="s">
        <v>1007</v>
      </c>
    </row>
    <row r="143" customFormat="false" ht="23.25" hidden="false" customHeight="true" outlineLevel="0" collapsed="false">
      <c r="A143" s="10" t="n">
        <v>60</v>
      </c>
      <c r="B143" s="7" t="s">
        <v>1008</v>
      </c>
      <c r="C143" s="7" t="s">
        <v>1009</v>
      </c>
      <c r="D143" s="7" t="s">
        <v>172</v>
      </c>
      <c r="E143" s="11" t="s">
        <v>72</v>
      </c>
      <c r="F143" s="7" t="s">
        <v>173</v>
      </c>
      <c r="G143" s="7" t="s">
        <v>173</v>
      </c>
      <c r="H143" s="7" t="s">
        <v>173</v>
      </c>
      <c r="I143" s="7" t="s">
        <v>174</v>
      </c>
      <c r="J143" s="7" t="s">
        <v>172</v>
      </c>
      <c r="K143" s="7" t="s">
        <v>172</v>
      </c>
      <c r="L143" s="12" t="s">
        <v>1010</v>
      </c>
      <c r="M143" s="7" t="s">
        <v>176</v>
      </c>
    </row>
    <row r="144" customFormat="false" ht="34.5" hidden="false" customHeight="true" outlineLevel="0" collapsed="false">
      <c r="A144" s="13" t="n">
        <v>59</v>
      </c>
      <c r="B144" s="7" t="s">
        <v>1011</v>
      </c>
      <c r="C144" s="7" t="s">
        <v>1012</v>
      </c>
      <c r="D144" s="7" t="s">
        <v>601</v>
      </c>
      <c r="E144" s="14" t="s">
        <v>155</v>
      </c>
      <c r="F144" s="7" t="s">
        <v>136</v>
      </c>
      <c r="G144" s="7" t="s">
        <v>1013</v>
      </c>
      <c r="H144" s="7" t="s">
        <v>102</v>
      </c>
      <c r="I144" s="7" t="s">
        <v>213</v>
      </c>
      <c r="J144" s="7" t="s">
        <v>1014</v>
      </c>
      <c r="K144" s="7" t="s">
        <v>1015</v>
      </c>
      <c r="L144" s="12" t="s">
        <v>1016</v>
      </c>
      <c r="M144" s="7" t="s">
        <v>1017</v>
      </c>
    </row>
    <row r="145" customFormat="false" ht="34.5" hidden="false" customHeight="true" outlineLevel="0" collapsed="false">
      <c r="A145" s="13" t="n">
        <v>59</v>
      </c>
      <c r="B145" s="7" t="s">
        <v>1018</v>
      </c>
      <c r="C145" s="7" t="s">
        <v>1019</v>
      </c>
      <c r="D145" s="7" t="s">
        <v>1020</v>
      </c>
      <c r="E145" s="14" t="s">
        <v>155</v>
      </c>
      <c r="F145" s="7" t="s">
        <v>136</v>
      </c>
      <c r="G145" s="7" t="s">
        <v>392</v>
      </c>
      <c r="H145" s="7" t="s">
        <v>393</v>
      </c>
      <c r="I145" s="7" t="s">
        <v>394</v>
      </c>
      <c r="J145" s="7" t="s">
        <v>713</v>
      </c>
      <c r="K145" s="7" t="s">
        <v>396</v>
      </c>
      <c r="L145" s="12" t="s">
        <v>1021</v>
      </c>
      <c r="M145" s="7" t="s">
        <v>398</v>
      </c>
    </row>
    <row r="146" customFormat="false" ht="23.25" hidden="false" customHeight="true" outlineLevel="0" collapsed="false">
      <c r="A146" s="13" t="n">
        <v>58</v>
      </c>
      <c r="B146" s="7" t="s">
        <v>1022</v>
      </c>
      <c r="C146" s="7" t="s">
        <v>1023</v>
      </c>
      <c r="D146" s="7" t="s">
        <v>1024</v>
      </c>
      <c r="E146" s="14" t="s">
        <v>155</v>
      </c>
      <c r="F146" s="7" t="s">
        <v>136</v>
      </c>
      <c r="G146" s="7" t="s">
        <v>1025</v>
      </c>
      <c r="H146" s="7" t="s">
        <v>102</v>
      </c>
      <c r="I146" s="7" t="s">
        <v>1026</v>
      </c>
      <c r="J146" s="7" t="s">
        <v>1027</v>
      </c>
      <c r="K146" s="7" t="s">
        <v>1028</v>
      </c>
      <c r="L146" s="12" t="s">
        <v>1029</v>
      </c>
      <c r="M146" s="7" t="s">
        <v>1030</v>
      </c>
    </row>
    <row r="147" customFormat="false" ht="34.5" hidden="false" customHeight="true" outlineLevel="0" collapsed="false">
      <c r="A147" s="13" t="n">
        <v>58</v>
      </c>
      <c r="B147" s="7" t="s">
        <v>1031</v>
      </c>
      <c r="C147" s="7" t="s">
        <v>1032</v>
      </c>
      <c r="D147" s="7" t="s">
        <v>172</v>
      </c>
      <c r="E147" s="14" t="s">
        <v>155</v>
      </c>
      <c r="F147" s="7" t="s">
        <v>173</v>
      </c>
      <c r="G147" s="7" t="s">
        <v>173</v>
      </c>
      <c r="H147" s="7" t="s">
        <v>173</v>
      </c>
      <c r="I147" s="7" t="s">
        <v>174</v>
      </c>
      <c r="J147" s="7" t="s">
        <v>172</v>
      </c>
      <c r="K147" s="7" t="s">
        <v>172</v>
      </c>
      <c r="L147" s="12" t="s">
        <v>1033</v>
      </c>
      <c r="M147" s="7" t="s">
        <v>176</v>
      </c>
    </row>
    <row r="148" customFormat="false" ht="34.5" hidden="false" customHeight="true" outlineLevel="0" collapsed="false">
      <c r="A148" s="10" t="n">
        <v>58</v>
      </c>
      <c r="B148" s="7" t="s">
        <v>1034</v>
      </c>
      <c r="C148" s="7" t="s">
        <v>1035</v>
      </c>
      <c r="D148" s="7" t="s">
        <v>172</v>
      </c>
      <c r="E148" s="11" t="s">
        <v>72</v>
      </c>
      <c r="F148" s="7" t="s">
        <v>173</v>
      </c>
      <c r="G148" s="7" t="s">
        <v>173</v>
      </c>
      <c r="H148" s="7" t="s">
        <v>173</v>
      </c>
      <c r="I148" s="7" t="s">
        <v>174</v>
      </c>
      <c r="J148" s="7" t="s">
        <v>172</v>
      </c>
      <c r="K148" s="7" t="s">
        <v>172</v>
      </c>
      <c r="L148" s="12" t="s">
        <v>1036</v>
      </c>
      <c r="M148" s="7" t="s">
        <v>176</v>
      </c>
    </row>
    <row r="149" customFormat="false" ht="34.5" hidden="false" customHeight="true" outlineLevel="0" collapsed="false">
      <c r="A149" s="10" t="n">
        <v>57</v>
      </c>
      <c r="B149" s="7" t="s">
        <v>1037</v>
      </c>
      <c r="C149" s="7" t="s">
        <v>1038</v>
      </c>
      <c r="D149" s="7" t="s">
        <v>172</v>
      </c>
      <c r="E149" s="11" t="s">
        <v>72</v>
      </c>
      <c r="F149" s="7" t="s">
        <v>173</v>
      </c>
      <c r="G149" s="7" t="s">
        <v>173</v>
      </c>
      <c r="H149" s="7" t="s">
        <v>173</v>
      </c>
      <c r="I149" s="7" t="s">
        <v>174</v>
      </c>
      <c r="J149" s="7" t="s">
        <v>172</v>
      </c>
      <c r="K149" s="7" t="s">
        <v>172</v>
      </c>
      <c r="L149" s="12" t="s">
        <v>1039</v>
      </c>
      <c r="M149" s="7" t="s">
        <v>176</v>
      </c>
    </row>
    <row r="150" customFormat="false" ht="23.25" hidden="false" customHeight="true" outlineLevel="0" collapsed="false">
      <c r="A150" s="13" t="n">
        <v>56</v>
      </c>
      <c r="B150" s="7" t="s">
        <v>1040</v>
      </c>
      <c r="C150" s="7" t="s">
        <v>1041</v>
      </c>
      <c r="D150" s="7" t="s">
        <v>1042</v>
      </c>
      <c r="E150" s="14" t="s">
        <v>155</v>
      </c>
      <c r="F150" s="7" t="s">
        <v>136</v>
      </c>
      <c r="G150" s="7" t="s">
        <v>417</v>
      </c>
      <c r="H150" s="7" t="s">
        <v>1043</v>
      </c>
      <c r="I150" s="7" t="s">
        <v>102</v>
      </c>
      <c r="J150" s="7" t="s">
        <v>1044</v>
      </c>
      <c r="K150" s="7" t="s">
        <v>1045</v>
      </c>
      <c r="L150" s="12" t="s">
        <v>1046</v>
      </c>
      <c r="M150" s="7" t="s">
        <v>1047</v>
      </c>
    </row>
    <row r="151" customFormat="false" ht="23.25" hidden="false" customHeight="true" outlineLevel="0" collapsed="false">
      <c r="A151" s="10" t="n">
        <v>56</v>
      </c>
      <c r="B151" s="7" t="s">
        <v>1048</v>
      </c>
      <c r="C151" s="7" t="s">
        <v>1049</v>
      </c>
      <c r="D151" s="7" t="s">
        <v>172</v>
      </c>
      <c r="E151" s="11" t="s">
        <v>72</v>
      </c>
      <c r="F151" s="7" t="s">
        <v>173</v>
      </c>
      <c r="G151" s="7" t="s">
        <v>173</v>
      </c>
      <c r="H151" s="7" t="s">
        <v>173</v>
      </c>
      <c r="I151" s="7" t="s">
        <v>174</v>
      </c>
      <c r="J151" s="7" t="s">
        <v>172</v>
      </c>
      <c r="K151" s="7" t="s">
        <v>172</v>
      </c>
      <c r="L151" s="12" t="s">
        <v>1050</v>
      </c>
      <c r="M151" s="7" t="s">
        <v>176</v>
      </c>
    </row>
    <row r="152" customFormat="false" ht="23.25" hidden="false" customHeight="true" outlineLevel="0" collapsed="false">
      <c r="A152" s="10" t="n">
        <v>56</v>
      </c>
      <c r="B152" s="7" t="s">
        <v>1051</v>
      </c>
      <c r="C152" s="7" t="s">
        <v>1052</v>
      </c>
      <c r="D152" s="7" t="s">
        <v>172</v>
      </c>
      <c r="E152" s="11" t="s">
        <v>72</v>
      </c>
      <c r="F152" s="7" t="s">
        <v>173</v>
      </c>
      <c r="G152" s="7" t="s">
        <v>173</v>
      </c>
      <c r="H152" s="7" t="s">
        <v>173</v>
      </c>
      <c r="I152" s="7" t="s">
        <v>174</v>
      </c>
      <c r="J152" s="7" t="s">
        <v>172</v>
      </c>
      <c r="K152" s="7" t="s">
        <v>172</v>
      </c>
      <c r="L152" s="12" t="s">
        <v>1053</v>
      </c>
      <c r="M152" s="7" t="s">
        <v>176</v>
      </c>
    </row>
    <row r="153" customFormat="false" ht="23.25" hidden="false" customHeight="true" outlineLevel="0" collapsed="false">
      <c r="A153" s="13" t="n">
        <v>55</v>
      </c>
      <c r="B153" s="7" t="s">
        <v>1054</v>
      </c>
      <c r="C153" s="7" t="s">
        <v>1055</v>
      </c>
      <c r="D153" s="7" t="s">
        <v>1056</v>
      </c>
      <c r="E153" s="14" t="s">
        <v>155</v>
      </c>
      <c r="F153" s="7" t="s">
        <v>136</v>
      </c>
      <c r="G153" s="7" t="s">
        <v>1057</v>
      </c>
      <c r="H153" s="7" t="s">
        <v>102</v>
      </c>
      <c r="I153" s="7" t="s">
        <v>1058</v>
      </c>
      <c r="J153" s="7" t="s">
        <v>1059</v>
      </c>
      <c r="K153" s="7" t="s">
        <v>1060</v>
      </c>
      <c r="L153" s="12" t="s">
        <v>1061</v>
      </c>
      <c r="M153" s="7" t="s">
        <v>1062</v>
      </c>
    </row>
    <row r="154" customFormat="false" ht="23.25" hidden="false" customHeight="true" outlineLevel="0" collapsed="false">
      <c r="A154" s="13" t="n">
        <v>55</v>
      </c>
      <c r="B154" s="7" t="s">
        <v>700</v>
      </c>
      <c r="C154" s="7" t="s">
        <v>1063</v>
      </c>
      <c r="D154" s="7" t="s">
        <v>172</v>
      </c>
      <c r="E154" s="14" t="s">
        <v>155</v>
      </c>
      <c r="F154" s="7" t="s">
        <v>173</v>
      </c>
      <c r="G154" s="7" t="s">
        <v>173</v>
      </c>
      <c r="H154" s="7" t="s">
        <v>173</v>
      </c>
      <c r="I154" s="7" t="s">
        <v>174</v>
      </c>
      <c r="J154" s="7" t="s">
        <v>172</v>
      </c>
      <c r="K154" s="7" t="s">
        <v>172</v>
      </c>
      <c r="L154" s="12" t="s">
        <v>1064</v>
      </c>
      <c r="M154" s="7" t="s">
        <v>176</v>
      </c>
    </row>
    <row r="155" customFormat="false" ht="34.5" hidden="false" customHeight="true" outlineLevel="0" collapsed="false"/>
    <row r="156" customFormat="false" ht="34.5" hidden="false" customHeight="true" outlineLevel="0" collapsed="false"/>
    <row r="157" customFormat="false" ht="23.25" hidden="false" customHeight="true" outlineLevel="0" collapsed="false"/>
    <row r="158" customFormat="false" ht="23.25" hidden="false" customHeight="true" outlineLevel="0" collapsed="false"/>
    <row r="159" customFormat="false" ht="23.25" hidden="false" customHeight="true" outlineLevel="0" collapsed="false"/>
    <row r="160" customFormat="false" ht="23.25" hidden="false" customHeight="true" outlineLevel="0" collapsed="false"/>
    <row r="161" customFormat="false" ht="23.25" hidden="false" customHeight="true" outlineLevel="0" collapsed="false"/>
    <row r="162" customFormat="false" ht="23.25" hidden="false" customHeight="true" outlineLevel="0" collapsed="false"/>
    <row r="163" customFormat="false" ht="23.25" hidden="false" customHeight="true" outlineLevel="0" collapsed="false"/>
    <row r="164" customFormat="false" ht="23.25" hidden="false" customHeight="true" outlineLevel="0" collapsed="false"/>
    <row r="165" customFormat="false" ht="23.25" hidden="false" customHeight="true" outlineLevel="0" collapsed="false"/>
    <row r="166" customFormat="false" ht="23.25" hidden="false" customHeight="true" outlineLevel="0" collapsed="false"/>
    <row r="167" customFormat="false" ht="34.5" hidden="false" customHeight="true" outlineLevel="0" collapsed="false"/>
    <row r="168" customFormat="false" ht="34.5" hidden="false" customHeight="true" outlineLevel="0" collapsed="false"/>
    <row r="169" customFormat="false" ht="34.5" hidden="false" customHeight="true" outlineLevel="0" collapsed="false"/>
    <row r="170" customFormat="false" ht="23.25" hidden="false" customHeight="true" outlineLevel="0" collapsed="false"/>
    <row r="171" customFormat="false" ht="45.75" hidden="false" customHeight="true" outlineLevel="0" collapsed="false"/>
    <row r="172" customFormat="false" ht="45.75" hidden="false" customHeight="true" outlineLevel="0" collapsed="false"/>
    <row r="173" customFormat="false" ht="23.25" hidden="false" customHeight="true" outlineLevel="0" collapsed="false"/>
    <row r="174" customFormat="false" ht="23.25" hidden="false" customHeight="true" outlineLevel="0" collapsed="false"/>
    <row r="175" customFormat="false" ht="34.5" hidden="false" customHeight="true" outlineLevel="0" collapsed="false"/>
    <row r="176" customFormat="false" ht="23.25" hidden="false" customHeight="true" outlineLevel="0" collapsed="false"/>
    <row r="177" customFormat="false" ht="34.5" hidden="false" customHeight="true" outlineLevel="0" collapsed="false"/>
    <row r="178" customFormat="false" ht="34.5" hidden="false" customHeight="true" outlineLevel="0" collapsed="false"/>
    <row r="179" customFormat="false" ht="45.75" hidden="false" customHeight="true" outlineLevel="0" collapsed="false"/>
    <row r="180" customFormat="false" ht="34.5" hidden="false" customHeight="true" outlineLevel="0" collapsed="false"/>
    <row r="181" customFormat="false" ht="45.75" hidden="false" customHeight="true" outlineLevel="0" collapsed="false"/>
    <row r="182" customFormat="false" ht="23.25" hidden="false" customHeight="true" outlineLevel="0" collapsed="false"/>
    <row r="183" customFormat="false" ht="23.25" hidden="false" customHeight="true" outlineLevel="0" collapsed="false"/>
    <row r="184" customFormat="false" ht="23.25" hidden="false" customHeight="true" outlineLevel="0" collapsed="false"/>
    <row r="185" customFormat="false" ht="34.5" hidden="false" customHeight="true" outlineLevel="0" collapsed="false"/>
    <row r="186" customFormat="false" ht="45.75" hidden="false" customHeight="true" outlineLevel="0" collapsed="false"/>
    <row r="187" customFormat="false" ht="34.5" hidden="false" customHeight="true" outlineLevel="0" collapsed="false"/>
    <row r="188" customFormat="false" ht="34.5" hidden="false" customHeight="true" outlineLevel="0" collapsed="false"/>
    <row r="189" customFormat="false" ht="57" hidden="false" customHeight="true" outlineLevel="0" collapsed="false"/>
    <row r="190" customFormat="false" ht="23.25" hidden="false" customHeight="true" outlineLevel="0" collapsed="false"/>
    <row r="191" customFormat="false" ht="34.5" hidden="false" customHeight="true" outlineLevel="0" collapsed="false"/>
    <row r="192" customFormat="false" ht="23.25" hidden="false" customHeight="true" outlineLevel="0" collapsed="false"/>
    <row r="193" customFormat="false" ht="34.5" hidden="false" customHeight="true" outlineLevel="0" collapsed="false"/>
    <row r="194" customFormat="false" ht="23.25" hidden="false" customHeight="true" outlineLevel="0" collapsed="false"/>
    <row r="195" customFormat="false" ht="34.5" hidden="false" customHeight="true" outlineLevel="0" collapsed="false"/>
    <row r="196" customFormat="false" ht="34.5" hidden="false" customHeight="true" outlineLevel="0" collapsed="false"/>
    <row r="197" customFormat="false" ht="23.25" hidden="false" customHeight="true" outlineLevel="0" collapsed="false"/>
    <row r="198" customFormat="false" ht="23.25" hidden="false" customHeight="true" outlineLevel="0" collapsed="false"/>
    <row r="199" customFormat="false" ht="23.25" hidden="false" customHeight="true" outlineLevel="0" collapsed="false"/>
    <row r="200" customFormat="false" ht="23.25" hidden="false" customHeight="true" outlineLevel="0" collapsed="false"/>
    <row r="201" customFormat="false" ht="34.5" hidden="false" customHeight="true" outlineLevel="0" collapsed="false"/>
    <row r="202" customFormat="false" ht="23.25" hidden="false" customHeight="true" outlineLevel="0" collapsed="false"/>
    <row r="203" customFormat="false" ht="34.5" hidden="false" customHeight="true" outlineLevel="0" collapsed="false"/>
    <row r="204" customFormat="false" ht="23.25" hidden="false" customHeight="true" outlineLevel="0" collapsed="false"/>
    <row r="205" customFormat="false" ht="34.5" hidden="false" customHeight="true" outlineLevel="0" collapsed="false"/>
    <row r="206" customFormat="false" ht="34.5" hidden="false" customHeight="true" outlineLevel="0" collapsed="false"/>
    <row r="207" customFormat="false" ht="23.25" hidden="false" customHeight="true" outlineLevel="0" collapsed="false"/>
    <row r="208" customFormat="false" ht="23.25" hidden="false" customHeight="true" outlineLevel="0" collapsed="false"/>
    <row r="209" customFormat="false" ht="23.25" hidden="false" customHeight="true" outlineLevel="0" collapsed="false"/>
    <row r="210" customFormat="false" ht="23.25" hidden="false" customHeight="true" outlineLevel="0" collapsed="false"/>
    <row r="211" customFormat="false" ht="34.5" hidden="false" customHeight="true" outlineLevel="0" collapsed="false"/>
    <row r="212" customFormat="false" ht="34.5" hidden="false" customHeight="true" outlineLevel="0" collapsed="false"/>
    <row r="213" customFormat="false" ht="23.25" hidden="false" customHeight="true" outlineLevel="0" collapsed="false"/>
    <row r="214" customFormat="false" ht="23.25" hidden="false" customHeight="true" outlineLevel="0" collapsed="false"/>
    <row r="215" customFormat="false" ht="45.75" hidden="false" customHeight="true" outlineLevel="0" collapsed="false"/>
    <row r="216" customFormat="false" ht="34.5" hidden="false" customHeight="true" outlineLevel="0" collapsed="false"/>
    <row r="217" customFormat="false" ht="23.25" hidden="false" customHeight="true" outlineLevel="0" collapsed="false"/>
    <row r="218" customFormat="false" ht="23.25" hidden="false" customHeight="true" outlineLevel="0" collapsed="false"/>
    <row r="219" customFormat="false" ht="45.75" hidden="false" customHeight="true" outlineLevel="0" collapsed="false"/>
    <row r="220" customFormat="false" ht="34.5" hidden="false" customHeight="true" outlineLevel="0" collapsed="false"/>
    <row r="221" customFormat="false" ht="23.25" hidden="false" customHeight="true" outlineLevel="0" collapsed="false"/>
    <row r="222" customFormat="false" ht="23.25" hidden="false" customHeight="true" outlineLevel="0" collapsed="false"/>
    <row r="223" customFormat="false" ht="34.5" hidden="false" customHeight="true" outlineLevel="0" collapsed="false"/>
    <row r="224" customFormat="false" ht="34.5" hidden="false" customHeight="true" outlineLevel="0" collapsed="false"/>
    <row r="225" customFormat="false" ht="34.5" hidden="false" customHeight="true" outlineLevel="0" collapsed="false"/>
    <row r="226" customFormat="false" ht="34.5" hidden="false" customHeight="true" outlineLevel="0" collapsed="false"/>
    <row r="227" customFormat="false" ht="34.5" hidden="false" customHeight="true" outlineLevel="0" collapsed="false"/>
    <row r="228" customFormat="false" ht="34.5" hidden="false" customHeight="true" outlineLevel="0" collapsed="false"/>
    <row r="229" customFormat="false" ht="34.5" hidden="false" customHeight="true" outlineLevel="0" collapsed="false"/>
    <row r="230" customFormat="false" ht="34.5" hidden="false" customHeight="true" outlineLevel="0" collapsed="false"/>
    <row r="231" customFormat="false" ht="34.5" hidden="false" customHeight="true" outlineLevel="0" collapsed="false"/>
    <row r="232" customFormat="false" ht="34.5" hidden="false" customHeight="true" outlineLevel="0" collapsed="false"/>
    <row r="233" customFormat="false" ht="34.5" hidden="false" customHeight="true" outlineLevel="0" collapsed="false"/>
    <row r="234" customFormat="false" ht="34.5" hidden="false" customHeight="true" outlineLevel="0" collapsed="false"/>
    <row r="235" customFormat="false" ht="34.5" hidden="false" customHeight="true" outlineLevel="0" collapsed="false"/>
    <row r="236" customFormat="false" ht="34.5" hidden="false" customHeight="true" outlineLevel="0" collapsed="false"/>
    <row r="237" customFormat="false" ht="23.25" hidden="false" customHeight="true" outlineLevel="0" collapsed="false"/>
    <row r="238" customFormat="false" ht="34.5" hidden="false" customHeight="true" outlineLevel="0" collapsed="false"/>
    <row r="239" customFormat="false" ht="34.5" hidden="false" customHeight="true" outlineLevel="0" collapsed="false"/>
    <row r="240" customFormat="false" ht="34.5" hidden="false" customHeight="true" outlineLevel="0" collapsed="false"/>
    <row r="241" customFormat="false" ht="23.25" hidden="false" customHeight="true" outlineLevel="0" collapsed="false"/>
    <row r="242" customFormat="false" ht="23.25" hidden="false" customHeight="true" outlineLevel="0" collapsed="false"/>
    <row r="243" customFormat="false" ht="23.25" hidden="false" customHeight="true" outlineLevel="0" collapsed="false"/>
    <row r="244" customFormat="false" ht="23.25" hidden="false" customHeight="true" outlineLevel="0" collapsed="false"/>
    <row r="245" customFormat="false" ht="23.25" hidden="false" customHeight="true" outlineLevel="0" collapsed="false"/>
    <row r="246" customFormat="false" ht="34.5" hidden="false" customHeight="true" outlineLevel="0" collapsed="false"/>
    <row r="247" customFormat="false" ht="34.5" hidden="false" customHeight="true" outlineLevel="0" collapsed="false"/>
    <row r="248" customFormat="false" ht="23.25" hidden="false" customHeight="true" outlineLevel="0" collapsed="false"/>
    <row r="249" customFormat="false" ht="23.25" hidden="false" customHeight="true" outlineLevel="0" collapsed="false"/>
    <row r="250" customFormat="false" ht="23.25" hidden="false" customHeight="true" outlineLevel="0" collapsed="false"/>
    <row r="251" customFormat="false" ht="23.25" hidden="false" customHeight="true" outlineLevel="0" collapsed="false"/>
    <row r="252" customFormat="false" ht="23.25" hidden="false" customHeight="true" outlineLevel="0" collapsed="false"/>
    <row r="253" customFormat="false" ht="45.75" hidden="false" customHeight="true" outlineLevel="0" collapsed="false"/>
    <row r="254" customFormat="false" ht="23.25" hidden="false" customHeight="true" outlineLevel="0" collapsed="false"/>
    <row r="255" customFormat="false" ht="23.25" hidden="false" customHeight="true" outlineLevel="0" collapsed="false"/>
    <row r="256" customFormat="false" ht="23.25" hidden="false" customHeight="true" outlineLevel="0" collapsed="false"/>
    <row r="257" customFormat="false" ht="23.25" hidden="false" customHeight="true" outlineLevel="0" collapsed="false"/>
    <row r="258" customFormat="false" ht="23.25" hidden="false" customHeight="true" outlineLevel="0" collapsed="false"/>
    <row r="259" customFormat="false" ht="23.25" hidden="false" customHeight="true" outlineLevel="0" collapsed="false"/>
    <row r="260" customFormat="false" ht="45.75" hidden="false" customHeight="true" outlineLevel="0" collapsed="false"/>
    <row r="261" customFormat="false" ht="23.25" hidden="false" customHeight="true" outlineLevel="0" collapsed="false"/>
    <row r="262" customFormat="false" ht="23.25" hidden="false" customHeight="true" outlineLevel="0" collapsed="false"/>
    <row r="263" customFormat="false" ht="34.5" hidden="false" customHeight="true" outlineLevel="0" collapsed="false"/>
    <row r="264" customFormat="false" ht="34.5" hidden="false" customHeight="true" outlineLevel="0" collapsed="false"/>
    <row r="265" customFormat="false" ht="34.5" hidden="false" customHeight="true" outlineLevel="0" collapsed="false"/>
    <row r="266" customFormat="false" ht="34.5" hidden="false" customHeight="true" outlineLevel="0" collapsed="false"/>
    <row r="267" customFormat="false" ht="23.25" hidden="false" customHeight="true" outlineLevel="0" collapsed="false"/>
    <row r="268" customFormat="false" ht="45.75" hidden="false" customHeight="true" outlineLevel="0" collapsed="false"/>
    <row r="269" customFormat="false" ht="45.75" hidden="false" customHeight="true" outlineLevel="0" collapsed="false"/>
    <row r="270" customFormat="false" ht="23.25" hidden="false" customHeight="true" outlineLevel="0" collapsed="false"/>
    <row r="271" customFormat="false" ht="23.25" hidden="false" customHeight="true" outlineLevel="0" collapsed="false"/>
    <row r="272" customFormat="false" ht="34.5" hidden="false" customHeight="true" outlineLevel="0" collapsed="false"/>
    <row r="273" customFormat="false" ht="45.75" hidden="false" customHeight="true" outlineLevel="0" collapsed="false"/>
    <row r="274" customFormat="false" ht="34.5" hidden="false" customHeight="true" outlineLevel="0" collapsed="false"/>
    <row r="275" customFormat="false" ht="23.25" hidden="false" customHeight="true" outlineLevel="0" collapsed="false"/>
    <row r="276" customFormat="false" ht="34.5" hidden="false" customHeight="true" outlineLevel="0" collapsed="false"/>
    <row r="277" customFormat="false" ht="34.5" hidden="false" customHeight="true" outlineLevel="0" collapsed="false"/>
    <row r="278" customFormat="false" ht="34.5" hidden="false" customHeight="true" outlineLevel="0" collapsed="false"/>
    <row r="279" customFormat="false" ht="45.75" hidden="false" customHeight="true" outlineLevel="0" collapsed="false"/>
    <row r="280" customFormat="false" ht="34.5" hidden="false" customHeight="true" outlineLevel="0" collapsed="false"/>
    <row r="281" customFormat="false" ht="45.75" hidden="false" customHeight="true" outlineLevel="0" collapsed="false"/>
    <row r="282" customFormat="false" ht="23.25" hidden="false" customHeight="true" outlineLevel="0" collapsed="false"/>
    <row r="283" customFormat="false" ht="23.25" hidden="false" customHeight="true" outlineLevel="0" collapsed="false"/>
    <row r="284" customFormat="false" ht="23.25" hidden="false" customHeight="true" outlineLevel="0" collapsed="false"/>
    <row r="285" customFormat="false" ht="34.5" hidden="false" customHeight="true" outlineLevel="0" collapsed="false"/>
    <row r="286" customFormat="false" ht="34.5" hidden="false" customHeight="true" outlineLevel="0" collapsed="false"/>
    <row r="287" customFormat="false" ht="34.5" hidden="false" customHeight="true" outlineLevel="0" collapsed="false"/>
    <row r="288" customFormat="false" ht="34.5" hidden="false" customHeight="true" outlineLevel="0" collapsed="false"/>
    <row r="289" customFormat="false" ht="45.75" hidden="false" customHeight="true" outlineLevel="0" collapsed="false"/>
    <row r="290" customFormat="false" ht="34.5" hidden="false" customHeight="true" outlineLevel="0" collapsed="false"/>
    <row r="291" customFormat="false" ht="45.75" hidden="false" customHeight="true" outlineLevel="0" collapsed="false"/>
    <row r="292" customFormat="false" ht="34.5" hidden="false" customHeight="true" outlineLevel="0" collapsed="false"/>
    <row r="293" customFormat="false" ht="34.5" hidden="false" customHeight="true" outlineLevel="0" collapsed="false"/>
    <row r="294" customFormat="false" ht="57" hidden="false" customHeight="true" outlineLevel="0" collapsed="false"/>
    <row r="295" customFormat="false" ht="23.25" hidden="false" customHeight="true" outlineLevel="0" collapsed="false"/>
    <row r="296" customFormat="false" ht="34.5" hidden="false" customHeight="true" outlineLevel="0" collapsed="false"/>
    <row r="297" customFormat="false" ht="23.25" hidden="false" customHeight="true" outlineLevel="0" collapsed="false"/>
    <row r="298" customFormat="false" ht="34.5" hidden="false" customHeight="true" outlineLevel="0" collapsed="false"/>
    <row r="299" customFormat="false" ht="34.5" hidden="false" customHeight="true" outlineLevel="0" collapsed="false"/>
    <row r="300" customFormat="false" ht="34.5" hidden="false" customHeight="true" outlineLevel="0" collapsed="false"/>
    <row r="301" customFormat="false" ht="45.75" hidden="false" customHeight="true" outlineLevel="0" collapsed="false"/>
    <row r="302" customFormat="false" ht="34.5" hidden="false" customHeight="true" outlineLevel="0" collapsed="false"/>
    <row r="303" customFormat="false" ht="23.25" hidden="false" customHeight="true" outlineLevel="0" collapsed="false"/>
    <row r="304" customFormat="false" ht="34.5" hidden="false" customHeight="true" outlineLevel="0" collapsed="false"/>
    <row r="305" customFormat="false" ht="34.5" hidden="false" customHeight="true" outlineLevel="0" collapsed="false"/>
    <row r="306" customFormat="false" ht="34.5" hidden="false" customHeight="true" outlineLevel="0" collapsed="false"/>
    <row r="307" customFormat="false" ht="34.5" hidden="false" customHeight="true" outlineLevel="0" collapsed="false"/>
    <row r="308" customFormat="false" ht="34.5" hidden="false" customHeight="true" outlineLevel="0" collapsed="false"/>
    <row r="309" customFormat="false" ht="34.5" hidden="false" customHeight="true" outlineLevel="0" collapsed="false"/>
    <row r="310" customFormat="false" ht="23.25" hidden="false" customHeight="true" outlineLevel="0" collapsed="false"/>
    <row r="311" customFormat="false" ht="23.25" hidden="false" customHeight="true" outlineLevel="0" collapsed="false"/>
    <row r="312" customFormat="false" ht="34.5" hidden="false" customHeight="true" outlineLevel="0" collapsed="false"/>
    <row r="313" customFormat="false" ht="23.25" hidden="false" customHeight="true" outlineLevel="0" collapsed="false"/>
    <row r="314" customFormat="false" ht="23.25" hidden="false" customHeight="true" outlineLevel="0" collapsed="false"/>
    <row r="315" customFormat="false" ht="34.5" hidden="false" customHeight="true" outlineLevel="0" collapsed="false"/>
    <row r="316" customFormat="false" ht="23.25" hidden="false" customHeight="true" outlineLevel="0" collapsed="false"/>
    <row r="317" customFormat="false" ht="34.5" hidden="false" customHeight="true" outlineLevel="0" collapsed="false"/>
    <row r="318" customFormat="false" ht="34.5" hidden="false" customHeight="true" outlineLevel="0" collapsed="false"/>
    <row r="319" customFormat="false" ht="23.25" hidden="false" customHeight="true" outlineLevel="0" collapsed="false"/>
    <row r="320" customFormat="false" ht="34.5" hidden="false" customHeight="true" outlineLevel="0" collapsed="false"/>
    <row r="321" customFormat="false" ht="34.5" hidden="false" customHeight="true" outlineLevel="0" collapsed="false"/>
    <row r="322" customFormat="false" ht="34.5" hidden="false" customHeight="true" outlineLevel="0" collapsed="false"/>
    <row r="323" customFormat="false" ht="23.25" hidden="false" customHeight="true" outlineLevel="0" collapsed="false"/>
    <row r="324" customFormat="false" ht="23.25" hidden="false" customHeight="true" outlineLevel="0" collapsed="false"/>
    <row r="325" customFormat="false" ht="34.5" hidden="false" customHeight="true" outlineLevel="0" collapsed="false"/>
    <row r="326" customFormat="false" ht="23.25" hidden="false" customHeight="true" outlineLevel="0" collapsed="false"/>
    <row r="327" customFormat="false" ht="23.25" hidden="false" customHeight="true" outlineLevel="0" collapsed="false"/>
    <row r="328" customFormat="false" ht="34.5" hidden="false" customHeight="true" outlineLevel="0" collapsed="false"/>
    <row r="329" customFormat="false" ht="34.5" hidden="false" customHeight="true" outlineLevel="0" collapsed="false"/>
    <row r="330" customFormat="false" ht="34.5" hidden="false" customHeight="true" outlineLevel="0" collapsed="false"/>
    <row r="331" customFormat="false" ht="23.25" hidden="false" customHeight="true" outlineLevel="0" collapsed="false"/>
    <row r="332" customFormat="false" ht="23.25" hidden="false" customHeight="true" outlineLevel="0" collapsed="false"/>
    <row r="333" customFormat="false" ht="45.75" hidden="false" customHeight="true" outlineLevel="0" collapsed="false"/>
    <row r="334" customFormat="false" ht="34.5" hidden="false" customHeight="true" outlineLevel="0" collapsed="false"/>
    <row r="335" customFormat="false" ht="23.25" hidden="false" customHeight="true" outlineLevel="0" collapsed="false"/>
    <row r="336" customFormat="false" ht="23.25" hidden="false" customHeight="true" outlineLevel="0" collapsed="false"/>
    <row r="337" customFormat="false" ht="34.5" hidden="false" customHeight="true" outlineLevel="0" collapsed="false"/>
    <row r="338" customFormat="false" ht="45.75" hidden="false" customHeight="true" outlineLevel="0" collapsed="false"/>
    <row r="339" customFormat="false" ht="15" hidden="false" customHeight="true" outlineLevel="0" collapsed="false"/>
  </sheetData>
  <autoFilter ref="A4:M154"/>
  <hyperlinks>
    <hyperlink ref="L6" r:id="rId1" display="https://www.freelancer.com/projects/ai-hw-sw/developer-automated-workflow-fully"/>
    <hyperlink ref="L8" r:id="rId2" display="https://community.n8n.io/t/hiring-sales-tech-automation-specialist-ongoing-remote-work-crm-databases/300286"/>
    <hyperlink ref="L9" r:id="rId3" display="https://www.freelancer.com/projects/n8n/openai-real-estate-scout"/>
    <hyperlink ref="L12" r:id="rId4" display="https://euremotejobs.com/job/ai-automation-specialist-2/"/>
    <hyperlink ref="L13" r:id="rId5" display="https://www.freelancer.com/projects/google-sheets/automation-specialist"/>
    <hyperlink ref="L14" r:id="rId6" display="https://jobs.lever.co/capital/371d503f-1eaf-4c83-a2d8-d312e44bca4d"/>
    <hyperlink ref="L15" r:id="rId7" display="https://www.freelancer.com/projects/crm/meta-business-agents-setup-expert"/>
    <hyperlink ref="L19" r:id="rId8" display="https://himalayas.app/companies/dorado-software-group/jobs/marketing-ai-automation-specialist-5796186857"/>
    <hyperlink ref="L23" r:id="rId9" display="https://jobs.workable.com/view/6PL9yBjhge85dfDyAs1tZS/remote-full-stack-engineer---growth-%26-marketing-in-italy-at-treatwell"/>
    <hyperlink ref="L24" r:id="rId10" display="https://wellfound.com/jobs/4079967-full-stack-engineer-next-js-supabase-ai-native-workflow"/>
    <hyperlink ref="L25" r:id="rId11" display="https://himalayas.app/companies/tripleten/jobs/crm-systems-automation-manager-9409947081"/>
    <hyperlink ref="L27" r:id="rId12" display="https://www.freelancer.com/projects/ai-integration/claude-integration-for-recruitment"/>
    <hyperlink ref="L30" r:id="rId13" display="https://jobs.smartrecruiters.com/BEUMERGroup1/744000118435467-digital-workplace-ai-automation-specialist-m-w-d-"/>
    <hyperlink ref="L31" r:id="rId14" display="https://startup.jobs/software-engineer-octocom-ltd-8787185"/>
    <hyperlink ref="L32" r:id="rId15" display="https://community.clay.com/x/full-time-jobs/9is5k0h0y5pt/hiring-gtm-engineer-at-growth-today-for-remote-eu"/>
    <hyperlink ref="L34" r:id="rId16" display="https://berlinstartupjobs.com/engineering/product-engineer-m-f-d-stackgini-gmbh/"/>
    <hyperlink ref="L35" r:id="rId17" display="https://jobs.workable.com/view/k6iUWx4gVmgMJko3nWuvCY/remote-ai-automations-product-engineer-in-amsterdam-at-ninetwothree-ai-studio"/>
    <hyperlink ref="L36" r:id="rId18" display="https://himalayas.app/companies/tripleten/jobs/crm-systems-automation-manager"/>
    <hyperlink ref="L37" r:id="rId19" display="https://euremotejobs.com/job/full-stack-developer-node-js-react-5/"/>
    <hyperlink ref="L38" r:id="rId20" display="https://himalayas.app/companies/wing-assistant/jobs/gtm-automation-engineer-outbound-marketing-2168134274"/>
    <hyperlink ref="L39" r:id="rId21" display="https://wellfound.com/jobs/4245997-senior-typescript-engineer-come-build-ai-agents-with-us-remote"/>
    <hyperlink ref="L41" r:id="rId22" display="https://himalayas.app/companies/find-co/jobs/crm-data-operations-analyst"/>
    <hyperlink ref="L42" r:id="rId23" display="https://himalayas.app/companies/kodify-media-group/jobs/full-stack-developer"/>
    <hyperlink ref="L44" r:id="rId24" display="https://weworkremotely.com/remote-jobs/yoko-co-front-end-wordpress-developer"/>
    <hyperlink ref="L45" r:id="rId25" display="https://himalayas.app/companies/wing-assistant/jobs/gtm-automation-engineer-outbound-marketing-3436928092"/>
    <hyperlink ref="L46" r:id="rId26" display="https://weworkremotely.com/remote-jobs/stellar-ai-senior-software-engineer"/>
    <hyperlink ref="L47" r:id="rId27" display="https://lleverage.recruitee.com/o/lleverage-tem-4"/>
    <hyperlink ref="L48" r:id="rId28" display="https://it.indeed.com/viewjob?jk=501ee57f9d773ce8"/>
    <hyperlink ref="L49" r:id="rId29" display="https://it.indeed.com/viewjob?jk=207dec180923643c"/>
    <hyperlink ref="L51" r:id="rId30" display="https://it.indeed.com/viewjob?jk=b267bab964b6de1c"/>
    <hyperlink ref="L52" r:id="rId31" display="https://euremotejobs.com/job/embedded-ai-engineer-ir-540/"/>
    <hyperlink ref="L53" r:id="rId32" display="https://himalayas.app/companies/wanstor/jobs/automation-developer-power-platform-copilot-studio"/>
    <hyperlink ref="L54" r:id="rId33" display="https://euremotejobs.com/job/staff-it-engineer-for-automation-ai-transformation-remote/"/>
    <hyperlink ref="L55" r:id="rId34" display="https://himalayas.app/companies/gorin-systems/jobs/full-stack-laravel-react-developer-9044192559"/>
    <hyperlink ref="L60" r:id="rId35" display="https://www.ycombinator.com/companies/cogram/jobs/LDTrViN-ex-technical-founder-product-engineer"/>
    <hyperlink ref="L61" r:id="rId36" display="https://himalayas.app/companies/oneimaging/jobs/full-stack-software-engineer-typescript-react"/>
    <hyperlink ref="L65" r:id="rId37" display="https://himalayas.app/companies/saas-group/jobs/ai-operator"/>
    <hyperlink ref="L66" r:id="rId38" display="https://himalayas.app/companies/sophie-camp/jobs/freelancer-gtm-engineer-ai-automation-specialist-n8n-clay"/>
    <hyperlink ref="L67" r:id="rId39" display="https://weworkremotely.com/remote-jobs/qase-technical-customer-support-specialist"/>
    <hyperlink ref="L69" r:id="rId40" display="https://doradosoftwaregroup.pinpointhq.com/en/postings/2b690194-5f6f-4217-8c9d-37e560e449b0"/>
    <hyperlink ref="L70" r:id="rId41" display="https://himalayas.app/companies/huzzle/jobs/gtm-engineer-ai-systems"/>
    <hyperlink ref="L71" r:id="rId42" display="https://jobs.workable.com/view/jVGnyeQeCeg4BoUw2QPnP5/lead-full-stack-engineer-(ai-first)-%7C-remote-(from-europe)-in-amsterdam-at-creatunity-llc"/>
    <hyperlink ref="L72" r:id="rId43" display="https://himalayas.app/companies/zencargo/jobs/forward-deployed-engineer-9064118696"/>
    <hyperlink ref="L74" r:id="rId44" display="https://www.freelancer.com/projects/data-extraction/versatile-web-scraper-needed"/>
    <hyperlink ref="L75" r:id="rId45" display="https://himalayas.app/companies/paires/jobs/gtm-engineer"/>
    <hyperlink ref="L76" r:id="rId46" display="https://startup.jobs/specialist-solution-engineer-salesforce-8912021"/>
    <hyperlink ref="L79" r:id="rId47" display="https://euremotejobs.com/job/full-stack-engineer-php-javascript-ai/"/>
    <hyperlink ref="L80" r:id="rId48" display="https://euremotejobs.com/job/backend-developer-remote/"/>
    <hyperlink ref="L81" r:id="rId49" display="https://berlinstartupjobs.com/engineering/senior-product-engineer-kombo/"/>
    <hyperlink ref="L82" r:id="rId50" display="https://builtin.com/job/software-engineer-frontend/7834165"/>
    <hyperlink ref="L83" r:id="rId51" display="https://himalayas.app/companies/berkeley-square-it/jobs/ai-solutions-engineer"/>
    <hyperlink ref="L84" r:id="rId52" display="https://join.com/companies/getaveryai/16375814-founding-engineer-core"/>
    <hyperlink ref="L85" r:id="rId53" display="https://himalayas.app/companies/supportyourapp/jobs/fluent-english-automation-specialist-remote-europe"/>
    <hyperlink ref="L88" r:id="rId54" display="https://builtin.com/job/software-engineer/7834176"/>
    <hyperlink ref="L89" r:id="rId55" display="https://builtin.com/job/ai-engineer-full-stack/8308933"/>
    <hyperlink ref="L90" r:id="rId56" display="https://weworkremotely.com/remote-jobs/toptal-senior-full-stack-ai-engineer"/>
    <hyperlink ref="L92" r:id="rId57" display="https://axmed.teamtailor.com/jobs/8175859-ai-engineer"/>
    <hyperlink ref="L93" r:id="rId58" display="https://berlinstartupjobs.com/engineering/full-stack-developer-pandata-gmbh/"/>
    <hyperlink ref="L94" r:id="rId59" display="https://jobs.workable.com/view/cB3gEgQkRU86js7TdJ98fJ/remote-llm-engineer---freelancer-in-warsaw-at-monterail"/>
    <hyperlink ref="L95" r:id="rId60" display="https://weworkremotely.com/remote-jobs/vidalytics-ai-automation-engineer-in-house-martech-video-saas"/>
    <hyperlink ref="L96" r:id="rId61" display="https://himalayas.app/companies/sortitt/jobs/full-stack-engineer"/>
    <hyperlink ref="L97" r:id="rId62" display="https://himalayas.app/companies/vfx-financial/jobs/ai-automation-engineer"/>
    <hyperlink ref="L98" r:id="rId63" display="https://mgid.recruitee.com/o/technical-account-manager-rtb-1"/>
    <hyperlink ref="L100" r:id="rId64" display="https://careers.launchmetrics.com/jobs/8072383-full-stack-software-development-engineer-php-react"/>
    <hyperlink ref="L101" r:id="rId65" display="https://valsea.teamtailor.com/jobs/7743448-ai-transformation-lead"/>
    <hyperlink ref="L103" r:id="rId66" display="https://codekeeper.applytojob.com/apply/qtxlu2ygms/full-stack-developer-javascript"/>
    <hyperlink ref="L106" r:id="rId67" display="https://himalayas.app/companies/kdci/jobs/n8n-developer"/>
    <hyperlink ref="L110" r:id="rId68" display="https://weworkremotely.com/remote-jobs/reveleer-full-stack-ai-engineer"/>
    <hyperlink ref="L111" r:id="rId69" display="https://himalayas.app/companies/swissborg/jobs/software-engineer-propr-xyz"/>
    <hyperlink ref="L113" r:id="rId70" display="https://mintos.teamtailor.com/jobs/7738030-ai-automation-transformation-engineer"/>
    <hyperlink ref="L114" r:id="rId71" display="https://etiqa-srl.breezy.hr/p/f5bc746306c601-ai-developer-junior-mid-efficiently-lazy"/>
    <hyperlink ref="L117" r:id="rId72" display="https://otonomee.jobs.personio.com/job/2656102"/>
    <hyperlink ref="L118" r:id="rId73" display="https://weworkremotely.com/remote-jobs/toptal-airtable-process-automation-expert"/>
    <hyperlink ref="L120" r:id="rId74" display="https://job-boards.greenhouse.io/alertmedia/jobs/8656401002"/>
    <hyperlink ref="L126" r:id="rId75" display="https://www.kadoa.com/careers/web-scraping-engineer"/>
    <hyperlink ref="L127" r:id="rId76" display="https://job-boards.greenhouse.io/wizinc/jobs/4701893006"/>
    <hyperlink ref="L128" r:id="rId77" display="https://careers.epicompany.eu/jobs/5229601-partner-integration-engineer-remote-first"/>
    <hyperlink ref="L131" r:id="rId78" display="https://it.indeed.com/viewjob?jk=89da5c8ba1dbefe5"/>
    <hyperlink ref="L132" r:id="rId79" display="https://www.arbeitnow.com/jobs/companies/reonic/go-to-market-ai-data-ai-x-greentech-berlin-54823"/>
    <hyperlink ref="L134" r:id="rId80" display="https://himalayas.app/companies/hygraph/jobs/senior-fullstack-engineer-f-m-d-berlin-i-germany-emea-i-remote"/>
    <hyperlink ref="L137" r:id="rId81" display="https://weworkremotely.com/remote-jobs/dataannotation-tech-ft-pt-remote-ai-prompt-engineering-evaluation-will-train"/>
    <hyperlink ref="L138" r:id="rId82" display="https://himalayas.app/companies/jumpfactor/jobs/gohighlevel-ghl-automation-specialist"/>
    <hyperlink ref="L139" r:id="rId83" display="https://jobs.eu.lever.co/wypoon/136cfee2-28f2-46b0-b634-99a563b9b059"/>
    <hyperlink ref="L140" r:id="rId84" display="https://digitail.factorialhr.com/job_posting/onboarding-specialist-274112"/>
    <hyperlink ref="L141" r:id="rId85" display="https://weworkremotely.com/remote-jobs/onthegosystems-ai-native-software-developer"/>
    <hyperlink ref="L142" r:id="rId86" display="https://shaman.recruitee.com/o/pre-sales-solution-consultant"/>
    <hyperlink ref="L143" r:id="rId87" display="https://himalayas.app/companies/curotec/jobs/senior-full-stack-engineer-laravel-reactjs"/>
    <hyperlink ref="L144" r:id="rId88" display="https://startup.jobs/full-stack-engineer-ii-mollie-8906768"/>
    <hyperlink ref="L148" r:id="rId89" display="https://opply-1682428990.teamtailor.com/jobs/6710160-product-engineer-remote-in-europe"/>
    <hyperlink ref="L150" r:id="rId90" display="https://www.ycombinator.com/companies/cogram/jobs"/>
    <hyperlink ref="L151" r:id="rId91" display="https://himalayas.app/companies/product-heroes/jobs/ai-ml-engineer-live-stor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26"/>
    <col collapsed="false" customWidth="true" hidden="false" outlineLevel="0" max="4" min="4" style="1" width="46"/>
    <col collapsed="false" customWidth="true" hidden="false" outlineLevel="0" max="5" min="5" style="1" width="7"/>
    <col collapsed="false" customWidth="true" hidden="false" outlineLevel="0" max="6" min="6" style="1" width="13"/>
    <col collapsed="false" customWidth="true" hidden="false" outlineLevel="0" max="8" min="7" style="1" width="34"/>
    <col collapsed="false" customWidth="true" hidden="false" outlineLevel="0" max="9" min="9" style="1" width="22"/>
    <col collapsed="false" customWidth="true" hidden="false" outlineLevel="0" max="11" min="10" style="1" width="74"/>
    <col collapsed="false" customWidth="true" hidden="false" outlineLevel="0" max="12" min="12" style="1" width="50"/>
    <col collapsed="false" customWidth="true" hidden="false" outlineLevel="0" max="13" min="13" style="1" width="60"/>
  </cols>
  <sheetData>
    <row r="1" customFormat="false" ht="18" hidden="false" customHeight="true" outlineLevel="0" collapsed="false">
      <c r="A1" s="2" t="s">
        <v>1065</v>
      </c>
    </row>
    <row r="2" customFormat="false" ht="15" hidden="false" customHeight="true" outlineLevel="0" collapsed="false">
      <c r="A2" s="3" t="s">
        <v>1066</v>
      </c>
    </row>
    <row r="4" customFormat="false" ht="30" hidden="false" customHeight="true" outlineLevel="0" collapsed="false">
      <c r="A4" s="4" t="s">
        <v>45</v>
      </c>
      <c r="B4" s="4" t="s">
        <v>57</v>
      </c>
      <c r="C4" s="4" t="s">
        <v>58</v>
      </c>
      <c r="D4" s="4" t="s">
        <v>59</v>
      </c>
      <c r="E4" s="4" t="s">
        <v>60</v>
      </c>
      <c r="F4" s="4" t="s">
        <v>61</v>
      </c>
      <c r="G4" s="4" t="s">
        <v>62</v>
      </c>
      <c r="H4" s="4" t="s">
        <v>63</v>
      </c>
      <c r="I4" s="4" t="s">
        <v>64</v>
      </c>
      <c r="J4" s="4" t="s">
        <v>65</v>
      </c>
      <c r="K4" s="4" t="s">
        <v>66</v>
      </c>
      <c r="L4" s="4" t="s">
        <v>67</v>
      </c>
      <c r="M4" s="4" t="s">
        <v>68</v>
      </c>
    </row>
    <row r="5" customFormat="false" ht="34.5" hidden="false" customHeight="true" outlineLevel="0" collapsed="false">
      <c r="A5" s="10" t="n">
        <v>86</v>
      </c>
      <c r="B5" s="7" t="s">
        <v>1067</v>
      </c>
      <c r="C5" s="7" t="s">
        <v>1068</v>
      </c>
      <c r="D5" s="7" t="s">
        <v>1069</v>
      </c>
      <c r="E5" s="11" t="s">
        <v>72</v>
      </c>
      <c r="F5" s="7" t="s">
        <v>136</v>
      </c>
      <c r="G5" s="7" t="s">
        <v>392</v>
      </c>
      <c r="H5" s="7" t="s">
        <v>393</v>
      </c>
      <c r="I5" s="7" t="s">
        <v>1070</v>
      </c>
      <c r="J5" s="7" t="s">
        <v>1071</v>
      </c>
      <c r="K5" s="7" t="s">
        <v>1072</v>
      </c>
      <c r="L5" s="12" t="s">
        <v>1073</v>
      </c>
      <c r="M5" s="7" t="s">
        <v>1074</v>
      </c>
    </row>
    <row r="6" customFormat="false" ht="34.5" hidden="false" customHeight="true" outlineLevel="0" collapsed="false">
      <c r="A6" s="10" t="n">
        <v>84</v>
      </c>
      <c r="B6" s="7" t="s">
        <v>289</v>
      </c>
      <c r="C6" s="7" t="s">
        <v>1075</v>
      </c>
      <c r="D6" s="7" t="s">
        <v>1076</v>
      </c>
      <c r="E6" s="11" t="s">
        <v>72</v>
      </c>
      <c r="F6" s="7" t="s">
        <v>136</v>
      </c>
      <c r="G6" s="7" t="s">
        <v>392</v>
      </c>
      <c r="H6" s="7" t="s">
        <v>393</v>
      </c>
      <c r="I6" s="7" t="s">
        <v>1070</v>
      </c>
      <c r="J6" s="7" t="s">
        <v>1077</v>
      </c>
      <c r="K6" s="7" t="s">
        <v>1072</v>
      </c>
      <c r="L6" s="12" t="s">
        <v>1078</v>
      </c>
      <c r="M6" s="7" t="s">
        <v>1074</v>
      </c>
    </row>
    <row r="7" customFormat="false" ht="34.5" hidden="false" customHeight="true" outlineLevel="0" collapsed="false">
      <c r="A7" s="10" t="n">
        <v>84</v>
      </c>
      <c r="B7" s="7" t="s">
        <v>1079</v>
      </c>
      <c r="C7" s="7" t="s">
        <v>1080</v>
      </c>
      <c r="D7" s="7" t="s">
        <v>1076</v>
      </c>
      <c r="E7" s="11" t="s">
        <v>72</v>
      </c>
      <c r="F7" s="7" t="s">
        <v>136</v>
      </c>
      <c r="G7" s="7" t="s">
        <v>392</v>
      </c>
      <c r="H7" s="7" t="s">
        <v>393</v>
      </c>
      <c r="I7" s="7" t="s">
        <v>1070</v>
      </c>
      <c r="J7" s="7" t="s">
        <v>1081</v>
      </c>
      <c r="K7" s="7" t="s">
        <v>1072</v>
      </c>
      <c r="L7" s="12" t="s">
        <v>1082</v>
      </c>
      <c r="M7" s="7" t="s">
        <v>1074</v>
      </c>
    </row>
    <row r="8" customFormat="false" ht="34.5" hidden="false" customHeight="true" outlineLevel="0" collapsed="false">
      <c r="A8" s="10" t="n">
        <v>82</v>
      </c>
      <c r="B8" s="7" t="s">
        <v>1083</v>
      </c>
      <c r="C8" s="7" t="s">
        <v>1084</v>
      </c>
      <c r="D8" s="7" t="s">
        <v>1069</v>
      </c>
      <c r="E8" s="11" t="s">
        <v>72</v>
      </c>
      <c r="F8" s="7" t="s">
        <v>136</v>
      </c>
      <c r="G8" s="7" t="s">
        <v>392</v>
      </c>
      <c r="H8" s="7" t="s">
        <v>393</v>
      </c>
      <c r="I8" s="7" t="s">
        <v>1070</v>
      </c>
      <c r="J8" s="7" t="s">
        <v>1085</v>
      </c>
      <c r="K8" s="7" t="s">
        <v>1072</v>
      </c>
      <c r="L8" s="12" t="s">
        <v>1086</v>
      </c>
      <c r="M8" s="7" t="s">
        <v>1074</v>
      </c>
    </row>
    <row r="9" customFormat="false" ht="34.5" hidden="false" customHeight="true" outlineLevel="0" collapsed="false">
      <c r="A9" s="10" t="n">
        <v>82</v>
      </c>
      <c r="B9" s="7" t="s">
        <v>1087</v>
      </c>
      <c r="C9" s="7" t="s">
        <v>1088</v>
      </c>
      <c r="D9" s="7" t="s">
        <v>1076</v>
      </c>
      <c r="E9" s="11" t="s">
        <v>72</v>
      </c>
      <c r="F9" s="7" t="s">
        <v>136</v>
      </c>
      <c r="G9" s="7" t="s">
        <v>392</v>
      </c>
      <c r="H9" s="7" t="s">
        <v>393</v>
      </c>
      <c r="I9" s="7" t="s">
        <v>1070</v>
      </c>
      <c r="J9" s="7" t="s">
        <v>1089</v>
      </c>
      <c r="K9" s="7" t="s">
        <v>1072</v>
      </c>
      <c r="L9" s="12" t="s">
        <v>1090</v>
      </c>
      <c r="M9" s="7" t="s">
        <v>1074</v>
      </c>
    </row>
    <row r="10" customFormat="false" ht="34.5" hidden="false" customHeight="true" outlineLevel="0" collapsed="false">
      <c r="A10" s="10" t="n">
        <v>82</v>
      </c>
      <c r="B10" s="7" t="s">
        <v>1091</v>
      </c>
      <c r="C10" s="7" t="s">
        <v>1092</v>
      </c>
      <c r="D10" s="7" t="s">
        <v>1076</v>
      </c>
      <c r="E10" s="11" t="s">
        <v>72</v>
      </c>
      <c r="F10" s="7" t="s">
        <v>136</v>
      </c>
      <c r="G10" s="7" t="s">
        <v>392</v>
      </c>
      <c r="H10" s="7" t="s">
        <v>393</v>
      </c>
      <c r="I10" s="7" t="s">
        <v>1070</v>
      </c>
      <c r="J10" s="7" t="s">
        <v>1093</v>
      </c>
      <c r="K10" s="7" t="s">
        <v>1072</v>
      </c>
      <c r="L10" s="12" t="s">
        <v>1094</v>
      </c>
      <c r="M10" s="7" t="s">
        <v>1074</v>
      </c>
    </row>
    <row r="11" customFormat="false" ht="34.5" hidden="false" customHeight="true" outlineLevel="0" collapsed="false">
      <c r="A11" s="13" t="n">
        <v>77</v>
      </c>
      <c r="B11" s="7" t="s">
        <v>1095</v>
      </c>
      <c r="C11" s="7" t="s">
        <v>1096</v>
      </c>
      <c r="D11" s="7" t="s">
        <v>1097</v>
      </c>
      <c r="E11" s="14" t="s">
        <v>155</v>
      </c>
      <c r="F11" s="7" t="s">
        <v>136</v>
      </c>
      <c r="G11" s="7" t="s">
        <v>1098</v>
      </c>
      <c r="H11" s="7" t="s">
        <v>393</v>
      </c>
      <c r="I11" s="7" t="s">
        <v>1099</v>
      </c>
      <c r="J11" s="7" t="s">
        <v>1100</v>
      </c>
      <c r="K11" s="7" t="s">
        <v>1072</v>
      </c>
      <c r="L11" s="12" t="s">
        <v>1101</v>
      </c>
      <c r="M11" s="7" t="s">
        <v>1074</v>
      </c>
    </row>
    <row r="12" customFormat="false" ht="34.5" hidden="false" customHeight="true" outlineLevel="0" collapsed="false">
      <c r="A12" s="13" t="n">
        <v>77</v>
      </c>
      <c r="B12" s="7" t="s">
        <v>1102</v>
      </c>
      <c r="C12" s="7" t="s">
        <v>1103</v>
      </c>
      <c r="D12" s="7" t="s">
        <v>1104</v>
      </c>
      <c r="E12" s="14" t="s">
        <v>155</v>
      </c>
      <c r="F12" s="7" t="s">
        <v>136</v>
      </c>
      <c r="G12" s="7" t="s">
        <v>1098</v>
      </c>
      <c r="H12" s="7" t="s">
        <v>393</v>
      </c>
      <c r="I12" s="7" t="s">
        <v>1105</v>
      </c>
      <c r="J12" s="7" t="s">
        <v>1106</v>
      </c>
      <c r="K12" s="7" t="s">
        <v>1072</v>
      </c>
      <c r="L12" s="12" t="s">
        <v>1107</v>
      </c>
      <c r="M12" s="7" t="s">
        <v>1074</v>
      </c>
    </row>
    <row r="13" customFormat="false" ht="34.5" hidden="false" customHeight="true" outlineLevel="0" collapsed="false">
      <c r="A13" s="13" t="n">
        <v>77</v>
      </c>
      <c r="B13" s="7" t="s">
        <v>1108</v>
      </c>
      <c r="C13" s="7" t="s">
        <v>1109</v>
      </c>
      <c r="D13" s="7" t="s">
        <v>1110</v>
      </c>
      <c r="E13" s="14" t="s">
        <v>155</v>
      </c>
      <c r="F13" s="7" t="s">
        <v>136</v>
      </c>
      <c r="G13" s="7" t="s">
        <v>392</v>
      </c>
      <c r="H13" s="7" t="s">
        <v>393</v>
      </c>
      <c r="I13" s="7" t="s">
        <v>1070</v>
      </c>
      <c r="J13" s="7" t="s">
        <v>1111</v>
      </c>
      <c r="K13" s="7" t="s">
        <v>1072</v>
      </c>
      <c r="L13" s="12" t="s">
        <v>1112</v>
      </c>
      <c r="M13" s="7" t="s">
        <v>1074</v>
      </c>
    </row>
    <row r="14" customFormat="false" ht="34.5" hidden="false" customHeight="true" outlineLevel="0" collapsed="false">
      <c r="A14" s="13" t="n">
        <v>77</v>
      </c>
      <c r="B14" s="7" t="s">
        <v>1113</v>
      </c>
      <c r="C14" s="7" t="s">
        <v>1114</v>
      </c>
      <c r="D14" s="7" t="s">
        <v>1115</v>
      </c>
      <c r="E14" s="14" t="s">
        <v>155</v>
      </c>
      <c r="F14" s="7" t="s">
        <v>136</v>
      </c>
      <c r="G14" s="7" t="s">
        <v>392</v>
      </c>
      <c r="H14" s="7" t="s">
        <v>393</v>
      </c>
      <c r="I14" s="7" t="s">
        <v>1070</v>
      </c>
      <c r="J14" s="7" t="s">
        <v>1081</v>
      </c>
      <c r="K14" s="7" t="s">
        <v>1072</v>
      </c>
      <c r="L14" s="12" t="s">
        <v>1116</v>
      </c>
      <c r="M14" s="7" t="s">
        <v>1074</v>
      </c>
    </row>
    <row r="15" customFormat="false" ht="34.5" hidden="false" customHeight="true" outlineLevel="0" collapsed="false">
      <c r="A15" s="13" t="n">
        <v>77</v>
      </c>
      <c r="B15" s="7" t="s">
        <v>1117</v>
      </c>
      <c r="C15" s="7" t="s">
        <v>1118</v>
      </c>
      <c r="D15" s="7" t="s">
        <v>1119</v>
      </c>
      <c r="E15" s="14" t="s">
        <v>155</v>
      </c>
      <c r="F15" s="7" t="s">
        <v>136</v>
      </c>
      <c r="G15" s="7" t="s">
        <v>392</v>
      </c>
      <c r="H15" s="7" t="s">
        <v>393</v>
      </c>
      <c r="I15" s="7" t="s">
        <v>1070</v>
      </c>
      <c r="J15" s="7" t="s">
        <v>1081</v>
      </c>
      <c r="K15" s="7" t="s">
        <v>1072</v>
      </c>
      <c r="L15" s="12" t="s">
        <v>1120</v>
      </c>
      <c r="M15" s="7" t="s">
        <v>1074</v>
      </c>
    </row>
    <row r="16" customFormat="false" ht="34.5" hidden="false" customHeight="true" outlineLevel="0" collapsed="false">
      <c r="A16" s="13" t="n">
        <v>77</v>
      </c>
      <c r="B16" s="7" t="s">
        <v>1121</v>
      </c>
      <c r="C16" s="7" t="s">
        <v>1122</v>
      </c>
      <c r="D16" s="7" t="s">
        <v>1119</v>
      </c>
      <c r="E16" s="14" t="s">
        <v>155</v>
      </c>
      <c r="F16" s="7" t="s">
        <v>136</v>
      </c>
      <c r="G16" s="7" t="s">
        <v>392</v>
      </c>
      <c r="H16" s="7" t="s">
        <v>393</v>
      </c>
      <c r="I16" s="7" t="s">
        <v>1070</v>
      </c>
      <c r="J16" s="7" t="s">
        <v>1081</v>
      </c>
      <c r="K16" s="7" t="s">
        <v>1072</v>
      </c>
      <c r="L16" s="12" t="s">
        <v>1123</v>
      </c>
      <c r="M16" s="7" t="s">
        <v>1074</v>
      </c>
    </row>
    <row r="17" customFormat="false" ht="34.5" hidden="false" customHeight="true" outlineLevel="0" collapsed="false">
      <c r="A17" s="13" t="n">
        <v>75</v>
      </c>
      <c r="B17" s="7" t="s">
        <v>1124</v>
      </c>
      <c r="C17" s="7" t="s">
        <v>1125</v>
      </c>
      <c r="D17" s="7" t="s">
        <v>1126</v>
      </c>
      <c r="E17" s="14" t="s">
        <v>155</v>
      </c>
      <c r="F17" s="7" t="s">
        <v>136</v>
      </c>
      <c r="G17" s="7" t="s">
        <v>1098</v>
      </c>
      <c r="H17" s="7" t="s">
        <v>393</v>
      </c>
      <c r="I17" s="7" t="s">
        <v>1127</v>
      </c>
      <c r="J17" s="7" t="s">
        <v>1128</v>
      </c>
      <c r="K17" s="7" t="s">
        <v>1072</v>
      </c>
      <c r="L17" s="12" t="s">
        <v>1129</v>
      </c>
      <c r="M17" s="7" t="s">
        <v>1074</v>
      </c>
    </row>
    <row r="18" customFormat="false" ht="34.5" hidden="false" customHeight="true" outlineLevel="0" collapsed="false">
      <c r="A18" s="13" t="n">
        <v>75</v>
      </c>
      <c r="B18" s="7" t="s">
        <v>1130</v>
      </c>
      <c r="C18" s="7" t="s">
        <v>1131</v>
      </c>
      <c r="D18" s="7" t="s">
        <v>1132</v>
      </c>
      <c r="E18" s="14" t="s">
        <v>155</v>
      </c>
      <c r="F18" s="7" t="s">
        <v>136</v>
      </c>
      <c r="G18" s="7" t="s">
        <v>1098</v>
      </c>
      <c r="H18" s="7" t="s">
        <v>393</v>
      </c>
      <c r="I18" s="7" t="s">
        <v>1133</v>
      </c>
      <c r="J18" s="7" t="s">
        <v>1128</v>
      </c>
      <c r="K18" s="7" t="s">
        <v>1072</v>
      </c>
      <c r="L18" s="12" t="s">
        <v>1134</v>
      </c>
      <c r="M18" s="7" t="s">
        <v>1074</v>
      </c>
    </row>
    <row r="19" customFormat="false" ht="34.5" hidden="false" customHeight="true" outlineLevel="0" collapsed="false">
      <c r="A19" s="13" t="n">
        <v>75</v>
      </c>
      <c r="B19" s="7" t="s">
        <v>1135</v>
      </c>
      <c r="C19" s="7" t="s">
        <v>1136</v>
      </c>
      <c r="D19" s="7" t="s">
        <v>1132</v>
      </c>
      <c r="E19" s="14" t="s">
        <v>155</v>
      </c>
      <c r="F19" s="7" t="s">
        <v>136</v>
      </c>
      <c r="G19" s="7" t="s">
        <v>1098</v>
      </c>
      <c r="H19" s="7" t="s">
        <v>393</v>
      </c>
      <c r="I19" s="7" t="s">
        <v>1105</v>
      </c>
      <c r="J19" s="7" t="s">
        <v>1128</v>
      </c>
      <c r="K19" s="7" t="s">
        <v>1072</v>
      </c>
      <c r="L19" s="12" t="s">
        <v>1137</v>
      </c>
      <c r="M19" s="7" t="s">
        <v>1074</v>
      </c>
    </row>
    <row r="20" customFormat="false" ht="34.5" hidden="false" customHeight="true" outlineLevel="0" collapsed="false">
      <c r="A20" s="13" t="n">
        <v>75</v>
      </c>
      <c r="B20" s="7" t="s">
        <v>1138</v>
      </c>
      <c r="C20" s="7" t="s">
        <v>1139</v>
      </c>
      <c r="D20" s="7" t="s">
        <v>1140</v>
      </c>
      <c r="E20" s="14" t="s">
        <v>155</v>
      </c>
      <c r="F20" s="7" t="s">
        <v>136</v>
      </c>
      <c r="G20" s="7" t="s">
        <v>1141</v>
      </c>
      <c r="H20" s="7" t="s">
        <v>393</v>
      </c>
      <c r="I20" s="7" t="s">
        <v>1142</v>
      </c>
      <c r="J20" s="7" t="s">
        <v>1128</v>
      </c>
      <c r="K20" s="7" t="s">
        <v>1072</v>
      </c>
      <c r="L20" s="12" t="s">
        <v>1143</v>
      </c>
      <c r="M20" s="7" t="s">
        <v>1074</v>
      </c>
    </row>
    <row r="21" customFormat="false" ht="34.5" hidden="false" customHeight="true" outlineLevel="0" collapsed="false">
      <c r="A21" s="13" t="n">
        <v>75</v>
      </c>
      <c r="B21" s="7" t="s">
        <v>700</v>
      </c>
      <c r="C21" s="7" t="s">
        <v>1144</v>
      </c>
      <c r="D21" s="7" t="s">
        <v>1145</v>
      </c>
      <c r="E21" s="14" t="s">
        <v>155</v>
      </c>
      <c r="F21" s="7" t="s">
        <v>136</v>
      </c>
      <c r="G21" s="7" t="s">
        <v>1098</v>
      </c>
      <c r="H21" s="7" t="s">
        <v>393</v>
      </c>
      <c r="I21" s="7" t="s">
        <v>1127</v>
      </c>
      <c r="J21" s="7" t="s">
        <v>1128</v>
      </c>
      <c r="K21" s="7" t="s">
        <v>1072</v>
      </c>
      <c r="L21" s="12" t="s">
        <v>1146</v>
      </c>
      <c r="M21" s="7" t="s">
        <v>1074</v>
      </c>
    </row>
    <row r="22" customFormat="false" ht="34.5" hidden="false" customHeight="true" outlineLevel="0" collapsed="false">
      <c r="A22" s="13" t="n">
        <v>75</v>
      </c>
      <c r="B22" s="7" t="s">
        <v>1083</v>
      </c>
      <c r="C22" s="7" t="s">
        <v>1147</v>
      </c>
      <c r="D22" s="7" t="s">
        <v>1148</v>
      </c>
      <c r="E22" s="14" t="s">
        <v>155</v>
      </c>
      <c r="F22" s="7" t="s">
        <v>136</v>
      </c>
      <c r="G22" s="7" t="s">
        <v>1098</v>
      </c>
      <c r="H22" s="7" t="s">
        <v>393</v>
      </c>
      <c r="I22" s="7" t="s">
        <v>1127</v>
      </c>
      <c r="J22" s="7" t="s">
        <v>1128</v>
      </c>
      <c r="K22" s="7" t="s">
        <v>1072</v>
      </c>
      <c r="L22" s="12" t="s">
        <v>1149</v>
      </c>
      <c r="M22" s="7" t="s">
        <v>1074</v>
      </c>
    </row>
    <row r="23" customFormat="false" ht="34.5" hidden="false" customHeight="true" outlineLevel="0" collapsed="false">
      <c r="A23" s="13" t="n">
        <v>75</v>
      </c>
      <c r="B23" s="7" t="s">
        <v>1083</v>
      </c>
      <c r="C23" s="7" t="s">
        <v>1150</v>
      </c>
      <c r="D23" s="7" t="s">
        <v>1140</v>
      </c>
      <c r="E23" s="14" t="s">
        <v>155</v>
      </c>
      <c r="F23" s="7" t="s">
        <v>136</v>
      </c>
      <c r="G23" s="7" t="s">
        <v>1098</v>
      </c>
      <c r="H23" s="7" t="s">
        <v>393</v>
      </c>
      <c r="I23" s="7" t="s">
        <v>1151</v>
      </c>
      <c r="J23" s="7" t="s">
        <v>1128</v>
      </c>
      <c r="K23" s="7" t="s">
        <v>1072</v>
      </c>
      <c r="L23" s="12" t="s">
        <v>1152</v>
      </c>
      <c r="M23" s="7" t="s">
        <v>1074</v>
      </c>
    </row>
    <row r="24" customFormat="false" ht="34.5" hidden="false" customHeight="true" outlineLevel="0" collapsed="false">
      <c r="A24" s="13" t="n">
        <v>75</v>
      </c>
      <c r="B24" s="7" t="s">
        <v>1083</v>
      </c>
      <c r="C24" s="7" t="s">
        <v>1153</v>
      </c>
      <c r="D24" s="7" t="s">
        <v>1154</v>
      </c>
      <c r="E24" s="14" t="s">
        <v>155</v>
      </c>
      <c r="F24" s="7" t="s">
        <v>136</v>
      </c>
      <c r="G24" s="7" t="s">
        <v>1098</v>
      </c>
      <c r="H24" s="7" t="s">
        <v>393</v>
      </c>
      <c r="I24" s="7" t="s">
        <v>1155</v>
      </c>
      <c r="J24" s="7" t="s">
        <v>1128</v>
      </c>
      <c r="K24" s="7" t="s">
        <v>1072</v>
      </c>
      <c r="L24" s="12" t="s">
        <v>1156</v>
      </c>
      <c r="M24" s="7" t="s">
        <v>1074</v>
      </c>
    </row>
    <row r="25" customFormat="false" ht="34.5" hidden="false" customHeight="true" outlineLevel="0" collapsed="false">
      <c r="A25" s="13" t="n">
        <v>75</v>
      </c>
      <c r="B25" s="7" t="s">
        <v>662</v>
      </c>
      <c r="C25" s="7" t="s">
        <v>1157</v>
      </c>
      <c r="D25" s="7" t="s">
        <v>1158</v>
      </c>
      <c r="E25" s="14" t="s">
        <v>155</v>
      </c>
      <c r="F25" s="7" t="s">
        <v>136</v>
      </c>
      <c r="G25" s="7" t="s">
        <v>1098</v>
      </c>
      <c r="H25" s="7" t="s">
        <v>393</v>
      </c>
      <c r="I25" s="7" t="s">
        <v>1159</v>
      </c>
      <c r="J25" s="7" t="s">
        <v>1128</v>
      </c>
      <c r="K25" s="7" t="s">
        <v>1072</v>
      </c>
      <c r="L25" s="12" t="s">
        <v>1160</v>
      </c>
      <c r="M25" s="7" t="s">
        <v>1074</v>
      </c>
    </row>
    <row r="26" customFormat="false" ht="34.5" hidden="false" customHeight="true" outlineLevel="0" collapsed="false">
      <c r="A26" s="13" t="n">
        <v>75</v>
      </c>
      <c r="B26" s="7" t="s">
        <v>1161</v>
      </c>
      <c r="C26" s="7" t="s">
        <v>1162</v>
      </c>
      <c r="D26" s="7" t="s">
        <v>1163</v>
      </c>
      <c r="E26" s="14" t="s">
        <v>155</v>
      </c>
      <c r="F26" s="7" t="s">
        <v>136</v>
      </c>
      <c r="G26" s="7" t="s">
        <v>1164</v>
      </c>
      <c r="H26" s="7" t="s">
        <v>393</v>
      </c>
      <c r="I26" s="7" t="s">
        <v>1142</v>
      </c>
      <c r="J26" s="7" t="s">
        <v>1128</v>
      </c>
      <c r="K26" s="7" t="s">
        <v>1072</v>
      </c>
      <c r="L26" s="12" t="s">
        <v>1165</v>
      </c>
      <c r="M26" s="7" t="s">
        <v>1074</v>
      </c>
    </row>
    <row r="27" customFormat="false" ht="34.5" hidden="false" customHeight="true" outlineLevel="0" collapsed="false">
      <c r="A27" s="13" t="n">
        <v>75</v>
      </c>
      <c r="B27" s="7" t="s">
        <v>1166</v>
      </c>
      <c r="C27" s="7" t="s">
        <v>1167</v>
      </c>
      <c r="D27" s="7" t="s">
        <v>1168</v>
      </c>
      <c r="E27" s="14" t="s">
        <v>155</v>
      </c>
      <c r="F27" s="7" t="s">
        <v>136</v>
      </c>
      <c r="G27" s="7" t="s">
        <v>1164</v>
      </c>
      <c r="H27" s="7" t="s">
        <v>393</v>
      </c>
      <c r="I27" s="7" t="s">
        <v>1127</v>
      </c>
      <c r="J27" s="7" t="s">
        <v>1128</v>
      </c>
      <c r="K27" s="7" t="s">
        <v>1072</v>
      </c>
      <c r="L27" s="12" t="s">
        <v>1169</v>
      </c>
      <c r="M27" s="7" t="s">
        <v>1074</v>
      </c>
    </row>
    <row r="28" customFormat="false" ht="34.5" hidden="false" customHeight="true" outlineLevel="0" collapsed="false">
      <c r="A28" s="13" t="n">
        <v>75</v>
      </c>
      <c r="B28" s="7" t="s">
        <v>1170</v>
      </c>
      <c r="C28" s="7" t="s">
        <v>1171</v>
      </c>
      <c r="D28" s="7" t="s">
        <v>1172</v>
      </c>
      <c r="E28" s="14" t="s">
        <v>155</v>
      </c>
      <c r="F28" s="7" t="s">
        <v>136</v>
      </c>
      <c r="G28" s="7" t="s">
        <v>1173</v>
      </c>
      <c r="H28" s="7" t="s">
        <v>393</v>
      </c>
      <c r="I28" s="7" t="s">
        <v>1159</v>
      </c>
      <c r="J28" s="7" t="s">
        <v>1128</v>
      </c>
      <c r="K28" s="7" t="s">
        <v>1072</v>
      </c>
      <c r="L28" s="12" t="s">
        <v>1174</v>
      </c>
      <c r="M28" s="7" t="s">
        <v>1074</v>
      </c>
    </row>
    <row r="29" customFormat="false" ht="34.5" hidden="false" customHeight="true" outlineLevel="0" collapsed="false">
      <c r="A29" s="13" t="n">
        <v>75</v>
      </c>
      <c r="B29" s="7" t="s">
        <v>1083</v>
      </c>
      <c r="C29" s="7" t="s">
        <v>1175</v>
      </c>
      <c r="D29" s="7" t="s">
        <v>1163</v>
      </c>
      <c r="E29" s="14" t="s">
        <v>155</v>
      </c>
      <c r="F29" s="7" t="s">
        <v>136</v>
      </c>
      <c r="G29" s="7" t="s">
        <v>1098</v>
      </c>
      <c r="H29" s="7" t="s">
        <v>393</v>
      </c>
      <c r="I29" s="7" t="s">
        <v>1176</v>
      </c>
      <c r="J29" s="7" t="s">
        <v>1128</v>
      </c>
      <c r="K29" s="7" t="s">
        <v>1072</v>
      </c>
      <c r="L29" s="12" t="s">
        <v>1177</v>
      </c>
      <c r="M29" s="7" t="s">
        <v>1074</v>
      </c>
    </row>
    <row r="30" customFormat="false" ht="34.5" hidden="false" customHeight="true" outlineLevel="0" collapsed="false">
      <c r="A30" s="13" t="n">
        <v>75</v>
      </c>
      <c r="B30" s="7" t="s">
        <v>1178</v>
      </c>
      <c r="C30" s="7" t="s">
        <v>1179</v>
      </c>
      <c r="D30" s="7" t="s">
        <v>1180</v>
      </c>
      <c r="E30" s="14" t="s">
        <v>155</v>
      </c>
      <c r="F30" s="7" t="s">
        <v>136</v>
      </c>
      <c r="G30" s="7" t="s">
        <v>1098</v>
      </c>
      <c r="H30" s="7" t="s">
        <v>393</v>
      </c>
      <c r="I30" s="7" t="s">
        <v>1142</v>
      </c>
      <c r="J30" s="7" t="s">
        <v>1128</v>
      </c>
      <c r="K30" s="7" t="s">
        <v>1072</v>
      </c>
      <c r="L30" s="12" t="s">
        <v>1181</v>
      </c>
      <c r="M30" s="7" t="s">
        <v>1074</v>
      </c>
    </row>
    <row r="31" customFormat="false" ht="34.5" hidden="false" customHeight="true" outlineLevel="0" collapsed="false">
      <c r="A31" s="13" t="n">
        <v>75</v>
      </c>
      <c r="B31" s="7" t="s">
        <v>1182</v>
      </c>
      <c r="C31" s="7" t="s">
        <v>1183</v>
      </c>
      <c r="D31" s="7" t="s">
        <v>1104</v>
      </c>
      <c r="E31" s="14" t="s">
        <v>155</v>
      </c>
      <c r="F31" s="7" t="s">
        <v>136</v>
      </c>
      <c r="G31" s="7" t="s">
        <v>1098</v>
      </c>
      <c r="H31" s="7" t="s">
        <v>393</v>
      </c>
      <c r="I31" s="7" t="s">
        <v>1105</v>
      </c>
      <c r="J31" s="7" t="s">
        <v>1128</v>
      </c>
      <c r="K31" s="7" t="s">
        <v>1072</v>
      </c>
      <c r="L31" s="12" t="s">
        <v>1184</v>
      </c>
      <c r="M31" s="7" t="s">
        <v>1074</v>
      </c>
    </row>
    <row r="32" customFormat="false" ht="34.5" hidden="false" customHeight="true" outlineLevel="0" collapsed="false">
      <c r="A32" s="13" t="n">
        <v>75</v>
      </c>
      <c r="B32" s="7" t="s">
        <v>1182</v>
      </c>
      <c r="C32" s="7" t="s">
        <v>1185</v>
      </c>
      <c r="D32" s="7" t="s">
        <v>1186</v>
      </c>
      <c r="E32" s="14" t="s">
        <v>155</v>
      </c>
      <c r="F32" s="7" t="s">
        <v>136</v>
      </c>
      <c r="G32" s="7" t="s">
        <v>1098</v>
      </c>
      <c r="H32" s="7" t="s">
        <v>393</v>
      </c>
      <c r="I32" s="7" t="s">
        <v>1187</v>
      </c>
      <c r="J32" s="7" t="s">
        <v>1128</v>
      </c>
      <c r="K32" s="7" t="s">
        <v>1072</v>
      </c>
      <c r="L32" s="12" t="s">
        <v>1188</v>
      </c>
      <c r="M32" s="7" t="s">
        <v>1074</v>
      </c>
    </row>
    <row r="33" customFormat="false" ht="34.5" hidden="false" customHeight="true" outlineLevel="0" collapsed="false">
      <c r="A33" s="13" t="n">
        <v>75</v>
      </c>
      <c r="B33" s="7" t="s">
        <v>1189</v>
      </c>
      <c r="C33" s="7" t="s">
        <v>1190</v>
      </c>
      <c r="D33" s="7" t="s">
        <v>1104</v>
      </c>
      <c r="E33" s="14" t="s">
        <v>155</v>
      </c>
      <c r="F33" s="7" t="s">
        <v>136</v>
      </c>
      <c r="G33" s="7" t="s">
        <v>1191</v>
      </c>
      <c r="H33" s="7" t="s">
        <v>393</v>
      </c>
      <c r="I33" s="7" t="s">
        <v>1192</v>
      </c>
      <c r="J33" s="7" t="s">
        <v>1128</v>
      </c>
      <c r="K33" s="7" t="s">
        <v>1072</v>
      </c>
      <c r="L33" s="12" t="s">
        <v>1193</v>
      </c>
      <c r="M33" s="7" t="s">
        <v>1074</v>
      </c>
    </row>
    <row r="34" customFormat="false" ht="34.5" hidden="false" customHeight="true" outlineLevel="0" collapsed="false">
      <c r="A34" s="13" t="n">
        <v>75</v>
      </c>
      <c r="B34" s="7" t="s">
        <v>1194</v>
      </c>
      <c r="C34" s="7" t="s">
        <v>1195</v>
      </c>
      <c r="D34" s="7" t="s">
        <v>1196</v>
      </c>
      <c r="E34" s="14" t="s">
        <v>155</v>
      </c>
      <c r="F34" s="7" t="s">
        <v>136</v>
      </c>
      <c r="G34" s="7" t="s">
        <v>1164</v>
      </c>
      <c r="H34" s="7" t="s">
        <v>393</v>
      </c>
      <c r="I34" s="7" t="s">
        <v>1142</v>
      </c>
      <c r="J34" s="7" t="s">
        <v>1128</v>
      </c>
      <c r="K34" s="7" t="s">
        <v>1072</v>
      </c>
      <c r="L34" s="12" t="s">
        <v>1197</v>
      </c>
      <c r="M34" s="7" t="s">
        <v>1074</v>
      </c>
    </row>
    <row r="35" customFormat="false" ht="34.5" hidden="false" customHeight="true" outlineLevel="0" collapsed="false">
      <c r="A35" s="13" t="n">
        <v>75</v>
      </c>
      <c r="B35" s="7" t="s">
        <v>1198</v>
      </c>
      <c r="C35" s="7" t="s">
        <v>1199</v>
      </c>
      <c r="D35" s="7" t="s">
        <v>1200</v>
      </c>
      <c r="E35" s="14" t="s">
        <v>155</v>
      </c>
      <c r="F35" s="7" t="s">
        <v>136</v>
      </c>
      <c r="G35" s="7" t="s">
        <v>1164</v>
      </c>
      <c r="H35" s="7" t="s">
        <v>393</v>
      </c>
      <c r="I35" s="7" t="s">
        <v>1187</v>
      </c>
      <c r="J35" s="7" t="s">
        <v>1128</v>
      </c>
      <c r="K35" s="7" t="s">
        <v>1072</v>
      </c>
      <c r="L35" s="12" t="s">
        <v>1201</v>
      </c>
      <c r="M35" s="7" t="s">
        <v>1074</v>
      </c>
    </row>
    <row r="36" customFormat="false" ht="34.5" hidden="false" customHeight="true" outlineLevel="0" collapsed="false">
      <c r="A36" s="13" t="n">
        <v>75</v>
      </c>
      <c r="B36" s="7" t="s">
        <v>1202</v>
      </c>
      <c r="C36" s="7" t="s">
        <v>1203</v>
      </c>
      <c r="D36" s="7" t="s">
        <v>1163</v>
      </c>
      <c r="E36" s="14" t="s">
        <v>155</v>
      </c>
      <c r="F36" s="7" t="s">
        <v>136</v>
      </c>
      <c r="G36" s="7" t="s">
        <v>1098</v>
      </c>
      <c r="H36" s="7" t="s">
        <v>393</v>
      </c>
      <c r="I36" s="7" t="s">
        <v>1151</v>
      </c>
      <c r="J36" s="7" t="s">
        <v>1204</v>
      </c>
      <c r="K36" s="7" t="s">
        <v>1072</v>
      </c>
      <c r="L36" s="12" t="s">
        <v>1205</v>
      </c>
      <c r="M36" s="7" t="s">
        <v>1074</v>
      </c>
    </row>
    <row r="37" customFormat="false" ht="34.5" hidden="false" customHeight="true" outlineLevel="0" collapsed="false">
      <c r="A37" s="13" t="n">
        <v>75</v>
      </c>
      <c r="B37" s="7" t="s">
        <v>1206</v>
      </c>
      <c r="C37" s="7" t="s">
        <v>1207</v>
      </c>
      <c r="D37" s="7" t="s">
        <v>1208</v>
      </c>
      <c r="E37" s="14" t="s">
        <v>155</v>
      </c>
      <c r="F37" s="7" t="s">
        <v>136</v>
      </c>
      <c r="G37" s="7" t="s">
        <v>1164</v>
      </c>
      <c r="H37" s="7" t="s">
        <v>393</v>
      </c>
      <c r="I37" s="7" t="s">
        <v>1159</v>
      </c>
      <c r="J37" s="7" t="s">
        <v>1128</v>
      </c>
      <c r="K37" s="7" t="s">
        <v>1072</v>
      </c>
      <c r="L37" s="12" t="s">
        <v>1209</v>
      </c>
      <c r="M37" s="7" t="s">
        <v>1074</v>
      </c>
    </row>
    <row r="38" customFormat="false" ht="34.5" hidden="false" customHeight="true" outlineLevel="0" collapsed="false">
      <c r="A38" s="13" t="n">
        <v>75</v>
      </c>
      <c r="B38" s="7" t="s">
        <v>1210</v>
      </c>
      <c r="C38" s="7" t="s">
        <v>1211</v>
      </c>
      <c r="D38" s="7" t="s">
        <v>1212</v>
      </c>
      <c r="E38" s="14" t="s">
        <v>155</v>
      </c>
      <c r="F38" s="7" t="s">
        <v>136</v>
      </c>
      <c r="G38" s="7" t="s">
        <v>1098</v>
      </c>
      <c r="H38" s="7" t="s">
        <v>393</v>
      </c>
      <c r="I38" s="7" t="s">
        <v>1213</v>
      </c>
      <c r="J38" s="7" t="s">
        <v>1128</v>
      </c>
      <c r="K38" s="7" t="s">
        <v>1072</v>
      </c>
      <c r="L38" s="12" t="s">
        <v>1214</v>
      </c>
      <c r="M38" s="7" t="s">
        <v>1074</v>
      </c>
    </row>
    <row r="39" customFormat="false" ht="34.5" hidden="false" customHeight="true" outlineLevel="0" collapsed="false">
      <c r="A39" s="13" t="n">
        <v>75</v>
      </c>
      <c r="B39" s="7" t="s">
        <v>1215</v>
      </c>
      <c r="C39" s="7" t="s">
        <v>1216</v>
      </c>
      <c r="D39" s="7" t="s">
        <v>1217</v>
      </c>
      <c r="E39" s="14" t="s">
        <v>155</v>
      </c>
      <c r="F39" s="7" t="s">
        <v>136</v>
      </c>
      <c r="G39" s="7" t="s">
        <v>1218</v>
      </c>
      <c r="H39" s="7" t="s">
        <v>393</v>
      </c>
      <c r="I39" s="7" t="s">
        <v>1213</v>
      </c>
      <c r="J39" s="7" t="s">
        <v>1128</v>
      </c>
      <c r="K39" s="7" t="s">
        <v>1072</v>
      </c>
      <c r="L39" s="12" t="s">
        <v>1219</v>
      </c>
      <c r="M39" s="7" t="s">
        <v>1074</v>
      </c>
    </row>
    <row r="40" customFormat="false" ht="34.5" hidden="false" customHeight="true" outlineLevel="0" collapsed="false">
      <c r="A40" s="13" t="n">
        <v>75</v>
      </c>
      <c r="B40" s="7" t="s">
        <v>1083</v>
      </c>
      <c r="C40" s="7" t="s">
        <v>1220</v>
      </c>
      <c r="D40" s="7" t="s">
        <v>1221</v>
      </c>
      <c r="E40" s="14" t="s">
        <v>155</v>
      </c>
      <c r="F40" s="7" t="s">
        <v>136</v>
      </c>
      <c r="G40" s="7" t="s">
        <v>1173</v>
      </c>
      <c r="H40" s="7" t="s">
        <v>393</v>
      </c>
      <c r="I40" s="7" t="s">
        <v>1213</v>
      </c>
      <c r="J40" s="7" t="s">
        <v>1128</v>
      </c>
      <c r="K40" s="7" t="s">
        <v>1072</v>
      </c>
      <c r="L40" s="12" t="s">
        <v>1222</v>
      </c>
      <c r="M40" s="7" t="s">
        <v>1074</v>
      </c>
    </row>
    <row r="41" customFormat="false" ht="34.5" hidden="false" customHeight="true" outlineLevel="0" collapsed="false">
      <c r="A41" s="13" t="n">
        <v>75</v>
      </c>
      <c r="B41" s="7" t="s">
        <v>1223</v>
      </c>
      <c r="C41" s="7" t="s">
        <v>1224</v>
      </c>
      <c r="D41" s="7" t="s">
        <v>1163</v>
      </c>
      <c r="E41" s="14" t="s">
        <v>155</v>
      </c>
      <c r="F41" s="7" t="s">
        <v>136</v>
      </c>
      <c r="G41" s="7" t="s">
        <v>1164</v>
      </c>
      <c r="H41" s="7" t="s">
        <v>393</v>
      </c>
      <c r="I41" s="7" t="s">
        <v>1176</v>
      </c>
      <c r="J41" s="7" t="s">
        <v>1128</v>
      </c>
      <c r="K41" s="7" t="s">
        <v>1072</v>
      </c>
      <c r="L41" s="12" t="s">
        <v>1225</v>
      </c>
      <c r="M41" s="7" t="s">
        <v>1074</v>
      </c>
    </row>
    <row r="42" customFormat="false" ht="34.5" hidden="false" customHeight="true" outlineLevel="0" collapsed="false">
      <c r="A42" s="13" t="n">
        <v>75</v>
      </c>
      <c r="B42" s="7" t="s">
        <v>1226</v>
      </c>
      <c r="C42" s="7" t="s">
        <v>1227</v>
      </c>
      <c r="D42" s="7" t="s">
        <v>1228</v>
      </c>
      <c r="E42" s="14" t="s">
        <v>155</v>
      </c>
      <c r="F42" s="7" t="s">
        <v>136</v>
      </c>
      <c r="G42" s="7" t="s">
        <v>1164</v>
      </c>
      <c r="H42" s="7" t="s">
        <v>393</v>
      </c>
      <c r="I42" s="7" t="s">
        <v>1127</v>
      </c>
      <c r="J42" s="7" t="s">
        <v>1128</v>
      </c>
      <c r="K42" s="7" t="s">
        <v>1072</v>
      </c>
      <c r="L42" s="12" t="s">
        <v>1229</v>
      </c>
      <c r="M42" s="7" t="s">
        <v>1074</v>
      </c>
    </row>
    <row r="43" customFormat="false" ht="34.5" hidden="false" customHeight="true" outlineLevel="0" collapsed="false">
      <c r="A43" s="13" t="n">
        <v>75</v>
      </c>
      <c r="B43" s="7" t="s">
        <v>1230</v>
      </c>
      <c r="C43" s="7" t="s">
        <v>1231</v>
      </c>
      <c r="D43" s="7" t="s">
        <v>1232</v>
      </c>
      <c r="E43" s="14" t="s">
        <v>155</v>
      </c>
      <c r="F43" s="7" t="s">
        <v>136</v>
      </c>
      <c r="G43" s="7" t="s">
        <v>1218</v>
      </c>
      <c r="H43" s="7" t="s">
        <v>393</v>
      </c>
      <c r="I43" s="7" t="s">
        <v>1213</v>
      </c>
      <c r="J43" s="7" t="s">
        <v>1128</v>
      </c>
      <c r="K43" s="7" t="s">
        <v>1072</v>
      </c>
      <c r="L43" s="12" t="s">
        <v>1233</v>
      </c>
      <c r="M43" s="7" t="s">
        <v>1074</v>
      </c>
    </row>
    <row r="44" customFormat="false" ht="34.5" hidden="false" customHeight="true" outlineLevel="0" collapsed="false">
      <c r="A44" s="13" t="n">
        <v>75</v>
      </c>
      <c r="B44" s="7" t="s">
        <v>1234</v>
      </c>
      <c r="C44" s="7" t="s">
        <v>1235</v>
      </c>
      <c r="D44" s="7" t="s">
        <v>1236</v>
      </c>
      <c r="E44" s="14" t="s">
        <v>155</v>
      </c>
      <c r="F44" s="7" t="s">
        <v>136</v>
      </c>
      <c r="G44" s="7" t="s">
        <v>1237</v>
      </c>
      <c r="H44" s="7" t="s">
        <v>393</v>
      </c>
      <c r="I44" s="7" t="s">
        <v>1159</v>
      </c>
      <c r="J44" s="7" t="s">
        <v>1128</v>
      </c>
      <c r="K44" s="7" t="s">
        <v>1072</v>
      </c>
      <c r="L44" s="12" t="s">
        <v>1238</v>
      </c>
      <c r="M44" s="7" t="s">
        <v>1074</v>
      </c>
    </row>
    <row r="45" customFormat="false" ht="34.5" hidden="false" customHeight="true" outlineLevel="0" collapsed="false">
      <c r="A45" s="13" t="n">
        <v>75</v>
      </c>
      <c r="B45" s="7" t="s">
        <v>1239</v>
      </c>
      <c r="C45" s="7" t="s">
        <v>1240</v>
      </c>
      <c r="D45" s="7" t="s">
        <v>1241</v>
      </c>
      <c r="E45" s="14" t="s">
        <v>155</v>
      </c>
      <c r="F45" s="7" t="s">
        <v>136</v>
      </c>
      <c r="G45" s="7" t="s">
        <v>1098</v>
      </c>
      <c r="H45" s="7" t="s">
        <v>393</v>
      </c>
      <c r="I45" s="7" t="s">
        <v>1242</v>
      </c>
      <c r="J45" s="7" t="s">
        <v>1128</v>
      </c>
      <c r="K45" s="7" t="s">
        <v>1072</v>
      </c>
      <c r="L45" s="12" t="s">
        <v>1243</v>
      </c>
      <c r="M45" s="7" t="s">
        <v>1074</v>
      </c>
    </row>
    <row r="46" customFormat="false" ht="34.5" hidden="false" customHeight="true" outlineLevel="0" collapsed="false">
      <c r="A46" s="13" t="n">
        <v>75</v>
      </c>
      <c r="B46" s="7" t="s">
        <v>738</v>
      </c>
      <c r="C46" s="7" t="s">
        <v>1244</v>
      </c>
      <c r="D46" s="7" t="s">
        <v>1245</v>
      </c>
      <c r="E46" s="14" t="s">
        <v>155</v>
      </c>
      <c r="F46" s="7" t="s">
        <v>136</v>
      </c>
      <c r="G46" s="7" t="s">
        <v>392</v>
      </c>
      <c r="H46" s="7" t="s">
        <v>393</v>
      </c>
      <c r="I46" s="7" t="s">
        <v>1070</v>
      </c>
      <c r="J46" s="7" t="s">
        <v>1081</v>
      </c>
      <c r="K46" s="7" t="s">
        <v>1072</v>
      </c>
      <c r="L46" s="12" t="s">
        <v>1246</v>
      </c>
      <c r="M46" s="7" t="s">
        <v>1074</v>
      </c>
    </row>
    <row r="47" customFormat="false" ht="34.5" hidden="false" customHeight="true" outlineLevel="0" collapsed="false">
      <c r="A47" s="13" t="n">
        <v>75</v>
      </c>
      <c r="B47" s="7" t="s">
        <v>700</v>
      </c>
      <c r="C47" s="7" t="s">
        <v>1247</v>
      </c>
      <c r="D47" s="7" t="s">
        <v>1248</v>
      </c>
      <c r="E47" s="14" t="s">
        <v>155</v>
      </c>
      <c r="F47" s="7" t="s">
        <v>136</v>
      </c>
      <c r="G47" s="7" t="s">
        <v>392</v>
      </c>
      <c r="H47" s="7" t="s">
        <v>393</v>
      </c>
      <c r="I47" s="7" t="s">
        <v>1070</v>
      </c>
      <c r="J47" s="7" t="s">
        <v>1081</v>
      </c>
      <c r="K47" s="7" t="s">
        <v>1072</v>
      </c>
      <c r="L47" s="12" t="s">
        <v>1249</v>
      </c>
      <c r="M47" s="7" t="s">
        <v>1074</v>
      </c>
    </row>
    <row r="48" customFormat="false" ht="34.5" hidden="false" customHeight="true" outlineLevel="0" collapsed="false">
      <c r="A48" s="13" t="n">
        <v>75</v>
      </c>
      <c r="B48" s="7" t="s">
        <v>1182</v>
      </c>
      <c r="C48" s="7" t="s">
        <v>1250</v>
      </c>
      <c r="D48" s="7" t="s">
        <v>1110</v>
      </c>
      <c r="E48" s="14" t="s">
        <v>155</v>
      </c>
      <c r="F48" s="7" t="s">
        <v>136</v>
      </c>
      <c r="G48" s="7" t="s">
        <v>392</v>
      </c>
      <c r="H48" s="7" t="s">
        <v>393</v>
      </c>
      <c r="I48" s="7" t="s">
        <v>1070</v>
      </c>
      <c r="J48" s="7" t="s">
        <v>1081</v>
      </c>
      <c r="K48" s="7" t="s">
        <v>1072</v>
      </c>
      <c r="L48" s="12" t="s">
        <v>1251</v>
      </c>
      <c r="M48" s="7" t="s">
        <v>1074</v>
      </c>
    </row>
    <row r="49" customFormat="false" ht="34.5" hidden="false" customHeight="true" outlineLevel="0" collapsed="false">
      <c r="A49" s="13" t="n">
        <v>75</v>
      </c>
      <c r="B49" s="7" t="s">
        <v>700</v>
      </c>
      <c r="C49" s="7" t="s">
        <v>1252</v>
      </c>
      <c r="D49" s="7" t="s">
        <v>1110</v>
      </c>
      <c r="E49" s="14" t="s">
        <v>155</v>
      </c>
      <c r="F49" s="7" t="s">
        <v>136</v>
      </c>
      <c r="G49" s="7" t="s">
        <v>392</v>
      </c>
      <c r="H49" s="7" t="s">
        <v>393</v>
      </c>
      <c r="I49" s="7" t="s">
        <v>1070</v>
      </c>
      <c r="J49" s="7" t="s">
        <v>1081</v>
      </c>
      <c r="K49" s="7" t="s">
        <v>1072</v>
      </c>
      <c r="L49" s="12" t="s">
        <v>1253</v>
      </c>
      <c r="M49" s="7" t="s">
        <v>1074</v>
      </c>
    </row>
    <row r="50" customFormat="false" ht="34.5" hidden="false" customHeight="true" outlineLevel="0" collapsed="false">
      <c r="A50" s="13" t="n">
        <v>75</v>
      </c>
      <c r="B50" s="7" t="s">
        <v>1254</v>
      </c>
      <c r="C50" s="7" t="s">
        <v>1255</v>
      </c>
      <c r="D50" s="7" t="s">
        <v>1110</v>
      </c>
      <c r="E50" s="14" t="s">
        <v>155</v>
      </c>
      <c r="F50" s="7" t="s">
        <v>136</v>
      </c>
      <c r="G50" s="7" t="s">
        <v>392</v>
      </c>
      <c r="H50" s="7" t="s">
        <v>393</v>
      </c>
      <c r="I50" s="7" t="s">
        <v>1070</v>
      </c>
      <c r="J50" s="7" t="s">
        <v>1256</v>
      </c>
      <c r="K50" s="7" t="s">
        <v>1072</v>
      </c>
      <c r="L50" s="12" t="s">
        <v>1257</v>
      </c>
      <c r="M50" s="7" t="s">
        <v>1074</v>
      </c>
    </row>
    <row r="51" customFormat="false" ht="34.5" hidden="false" customHeight="true" outlineLevel="0" collapsed="false">
      <c r="A51" s="13" t="n">
        <v>75</v>
      </c>
      <c r="B51" s="7" t="s">
        <v>738</v>
      </c>
      <c r="C51" s="7" t="s">
        <v>1258</v>
      </c>
      <c r="D51" s="7" t="s">
        <v>1110</v>
      </c>
      <c r="E51" s="14" t="s">
        <v>155</v>
      </c>
      <c r="F51" s="7" t="s">
        <v>136</v>
      </c>
      <c r="G51" s="7" t="s">
        <v>392</v>
      </c>
      <c r="H51" s="7" t="s">
        <v>393</v>
      </c>
      <c r="I51" s="7" t="s">
        <v>1070</v>
      </c>
      <c r="J51" s="7" t="s">
        <v>1081</v>
      </c>
      <c r="K51" s="7" t="s">
        <v>1072</v>
      </c>
      <c r="L51" s="12" t="s">
        <v>1259</v>
      </c>
      <c r="M51" s="7" t="s">
        <v>1074</v>
      </c>
    </row>
    <row r="52" customFormat="false" ht="34.5" hidden="false" customHeight="true" outlineLevel="0" collapsed="false">
      <c r="A52" s="13" t="n">
        <v>75</v>
      </c>
      <c r="B52" s="7" t="s">
        <v>1260</v>
      </c>
      <c r="C52" s="7" t="s">
        <v>1261</v>
      </c>
      <c r="D52" s="7" t="s">
        <v>1119</v>
      </c>
      <c r="E52" s="14" t="s">
        <v>155</v>
      </c>
      <c r="F52" s="7" t="s">
        <v>136</v>
      </c>
      <c r="G52" s="7" t="s">
        <v>392</v>
      </c>
      <c r="H52" s="7" t="s">
        <v>393</v>
      </c>
      <c r="I52" s="7" t="s">
        <v>1070</v>
      </c>
      <c r="J52" s="7" t="s">
        <v>1081</v>
      </c>
      <c r="K52" s="7" t="s">
        <v>1072</v>
      </c>
      <c r="L52" s="12" t="s">
        <v>1262</v>
      </c>
      <c r="M52" s="7" t="s">
        <v>1074</v>
      </c>
    </row>
    <row r="53" customFormat="false" ht="34.5" hidden="false" customHeight="true" outlineLevel="0" collapsed="false">
      <c r="A53" s="13" t="n">
        <v>75</v>
      </c>
      <c r="B53" s="7" t="s">
        <v>1263</v>
      </c>
      <c r="C53" s="7" t="s">
        <v>1264</v>
      </c>
      <c r="D53" s="7" t="s">
        <v>1110</v>
      </c>
      <c r="E53" s="14" t="s">
        <v>155</v>
      </c>
      <c r="F53" s="7" t="s">
        <v>136</v>
      </c>
      <c r="G53" s="7" t="s">
        <v>392</v>
      </c>
      <c r="H53" s="7" t="s">
        <v>393</v>
      </c>
      <c r="I53" s="7" t="s">
        <v>1070</v>
      </c>
      <c r="J53" s="7" t="s">
        <v>1265</v>
      </c>
      <c r="K53" s="7" t="s">
        <v>1072</v>
      </c>
      <c r="L53" s="12" t="s">
        <v>1266</v>
      </c>
      <c r="M53" s="7" t="s">
        <v>1074</v>
      </c>
    </row>
    <row r="54" customFormat="false" ht="34.5" hidden="false" customHeight="true" outlineLevel="0" collapsed="false">
      <c r="A54" s="13" t="n">
        <v>75</v>
      </c>
      <c r="B54" s="7" t="s">
        <v>700</v>
      </c>
      <c r="C54" s="7" t="s">
        <v>1267</v>
      </c>
      <c r="D54" s="7" t="s">
        <v>1268</v>
      </c>
      <c r="E54" s="14" t="s">
        <v>155</v>
      </c>
      <c r="F54" s="7" t="s">
        <v>136</v>
      </c>
      <c r="G54" s="7" t="s">
        <v>392</v>
      </c>
      <c r="H54" s="7" t="s">
        <v>393</v>
      </c>
      <c r="I54" s="7" t="s">
        <v>1070</v>
      </c>
      <c r="J54" s="7" t="s">
        <v>1081</v>
      </c>
      <c r="K54" s="7" t="s">
        <v>1072</v>
      </c>
      <c r="L54" s="12" t="s">
        <v>1269</v>
      </c>
      <c r="M54" s="7" t="s">
        <v>1074</v>
      </c>
    </row>
    <row r="55" customFormat="false" ht="34.5" hidden="false" customHeight="true" outlineLevel="0" collapsed="false">
      <c r="A55" s="13" t="n">
        <v>75</v>
      </c>
      <c r="B55" s="7" t="s">
        <v>1270</v>
      </c>
      <c r="C55" s="7" t="s">
        <v>1271</v>
      </c>
      <c r="D55" s="7" t="s">
        <v>1272</v>
      </c>
      <c r="E55" s="14" t="s">
        <v>155</v>
      </c>
      <c r="F55" s="7" t="s">
        <v>136</v>
      </c>
      <c r="G55" s="7" t="s">
        <v>392</v>
      </c>
      <c r="H55" s="7" t="s">
        <v>393</v>
      </c>
      <c r="I55" s="7" t="s">
        <v>1070</v>
      </c>
      <c r="J55" s="7" t="s">
        <v>1273</v>
      </c>
      <c r="K55" s="7" t="s">
        <v>1072</v>
      </c>
      <c r="L55" s="12" t="s">
        <v>1274</v>
      </c>
      <c r="M55" s="7" t="s">
        <v>1074</v>
      </c>
    </row>
    <row r="56" customFormat="false" ht="34.5" hidden="false" customHeight="true" outlineLevel="0" collapsed="false">
      <c r="A56" s="13" t="n">
        <v>75</v>
      </c>
      <c r="B56" s="7" t="s">
        <v>700</v>
      </c>
      <c r="C56" s="7" t="s">
        <v>1275</v>
      </c>
      <c r="D56" s="7" t="s">
        <v>1245</v>
      </c>
      <c r="E56" s="14" t="s">
        <v>155</v>
      </c>
      <c r="F56" s="7" t="s">
        <v>136</v>
      </c>
      <c r="G56" s="7" t="s">
        <v>392</v>
      </c>
      <c r="H56" s="7" t="s">
        <v>393</v>
      </c>
      <c r="I56" s="7" t="s">
        <v>1070</v>
      </c>
      <c r="J56" s="7" t="s">
        <v>1081</v>
      </c>
      <c r="K56" s="7" t="s">
        <v>1072</v>
      </c>
      <c r="L56" s="12" t="s">
        <v>1276</v>
      </c>
      <c r="M56" s="7" t="s">
        <v>1074</v>
      </c>
    </row>
    <row r="57" customFormat="false" ht="34.5" hidden="false" customHeight="true" outlineLevel="0" collapsed="false">
      <c r="A57" s="13" t="n">
        <v>75</v>
      </c>
      <c r="B57" s="7" t="s">
        <v>700</v>
      </c>
      <c r="C57" s="7" t="s">
        <v>1277</v>
      </c>
      <c r="D57" s="7" t="s">
        <v>1278</v>
      </c>
      <c r="E57" s="14" t="s">
        <v>155</v>
      </c>
      <c r="F57" s="7" t="s">
        <v>136</v>
      </c>
      <c r="G57" s="7" t="s">
        <v>392</v>
      </c>
      <c r="H57" s="7" t="s">
        <v>393</v>
      </c>
      <c r="I57" s="7" t="s">
        <v>1070</v>
      </c>
      <c r="J57" s="7" t="s">
        <v>1081</v>
      </c>
      <c r="K57" s="7" t="s">
        <v>1072</v>
      </c>
      <c r="L57" s="12" t="s">
        <v>1279</v>
      </c>
      <c r="M57" s="7" t="s">
        <v>1074</v>
      </c>
    </row>
    <row r="58" customFormat="false" ht="34.5" hidden="false" customHeight="true" outlineLevel="0" collapsed="false">
      <c r="A58" s="10" t="n">
        <v>75</v>
      </c>
      <c r="B58" s="7" t="s">
        <v>1280</v>
      </c>
      <c r="C58" s="7" t="s">
        <v>1281</v>
      </c>
      <c r="D58" s="7" t="s">
        <v>1076</v>
      </c>
      <c r="E58" s="11" t="s">
        <v>72</v>
      </c>
      <c r="F58" s="7" t="s">
        <v>136</v>
      </c>
      <c r="G58" s="7" t="s">
        <v>392</v>
      </c>
      <c r="H58" s="7" t="s">
        <v>393</v>
      </c>
      <c r="I58" s="7" t="s">
        <v>1070</v>
      </c>
      <c r="J58" s="7" t="s">
        <v>1081</v>
      </c>
      <c r="K58" s="7" t="s">
        <v>1072</v>
      </c>
      <c r="L58" s="12" t="s">
        <v>1282</v>
      </c>
      <c r="M58" s="7" t="s">
        <v>1074</v>
      </c>
    </row>
    <row r="59" customFormat="false" ht="34.5" hidden="false" customHeight="true" outlineLevel="0" collapsed="false">
      <c r="A59" s="13" t="n">
        <v>75</v>
      </c>
      <c r="B59" s="7" t="s">
        <v>1283</v>
      </c>
      <c r="C59" s="7" t="s">
        <v>1284</v>
      </c>
      <c r="D59" s="7" t="s">
        <v>1285</v>
      </c>
      <c r="E59" s="14" t="s">
        <v>155</v>
      </c>
      <c r="F59" s="7" t="s">
        <v>136</v>
      </c>
      <c r="G59" s="7" t="s">
        <v>392</v>
      </c>
      <c r="H59" s="7" t="s">
        <v>393</v>
      </c>
      <c r="I59" s="7" t="s">
        <v>1070</v>
      </c>
      <c r="J59" s="7" t="s">
        <v>1286</v>
      </c>
      <c r="K59" s="7" t="s">
        <v>1072</v>
      </c>
      <c r="L59" s="12" t="s">
        <v>1287</v>
      </c>
      <c r="M59" s="7" t="s">
        <v>1074</v>
      </c>
    </row>
    <row r="60" customFormat="false" ht="34.5" hidden="false" customHeight="true" outlineLevel="0" collapsed="false">
      <c r="A60" s="13" t="n">
        <v>75</v>
      </c>
      <c r="B60" s="7" t="s">
        <v>700</v>
      </c>
      <c r="C60" s="7" t="s">
        <v>1288</v>
      </c>
      <c r="D60" s="7" t="s">
        <v>1289</v>
      </c>
      <c r="E60" s="14" t="s">
        <v>155</v>
      </c>
      <c r="F60" s="7" t="s">
        <v>136</v>
      </c>
      <c r="G60" s="7" t="s">
        <v>392</v>
      </c>
      <c r="H60" s="7" t="s">
        <v>393</v>
      </c>
      <c r="I60" s="7" t="s">
        <v>1070</v>
      </c>
      <c r="J60" s="7" t="s">
        <v>1081</v>
      </c>
      <c r="K60" s="7" t="s">
        <v>1072</v>
      </c>
      <c r="L60" s="12" t="s">
        <v>1290</v>
      </c>
      <c r="M60" s="7" t="s">
        <v>1074</v>
      </c>
    </row>
    <row r="61" customFormat="false" ht="34.5" hidden="false" customHeight="true" outlineLevel="0" collapsed="false">
      <c r="A61" s="13" t="n">
        <v>75</v>
      </c>
      <c r="B61" s="7" t="s">
        <v>1291</v>
      </c>
      <c r="C61" s="7" t="s">
        <v>1292</v>
      </c>
      <c r="D61" s="7" t="s">
        <v>1293</v>
      </c>
      <c r="E61" s="14" t="s">
        <v>155</v>
      </c>
      <c r="F61" s="7" t="s">
        <v>136</v>
      </c>
      <c r="G61" s="7" t="s">
        <v>392</v>
      </c>
      <c r="H61" s="7" t="s">
        <v>393</v>
      </c>
      <c r="I61" s="7" t="s">
        <v>1070</v>
      </c>
      <c r="J61" s="7" t="s">
        <v>1081</v>
      </c>
      <c r="K61" s="7" t="s">
        <v>1072</v>
      </c>
      <c r="L61" s="12" t="s">
        <v>1294</v>
      </c>
      <c r="M61" s="7" t="s">
        <v>1074</v>
      </c>
    </row>
    <row r="62" customFormat="false" ht="34.5" hidden="false" customHeight="true" outlineLevel="0" collapsed="false">
      <c r="A62" s="13" t="n">
        <v>75</v>
      </c>
      <c r="B62" s="7" t="s">
        <v>700</v>
      </c>
      <c r="C62" s="7" t="s">
        <v>1295</v>
      </c>
      <c r="D62" s="7" t="s">
        <v>1296</v>
      </c>
      <c r="E62" s="14" t="s">
        <v>155</v>
      </c>
      <c r="F62" s="7" t="s">
        <v>136</v>
      </c>
      <c r="G62" s="7" t="s">
        <v>392</v>
      </c>
      <c r="H62" s="7" t="s">
        <v>393</v>
      </c>
      <c r="I62" s="7" t="s">
        <v>1070</v>
      </c>
      <c r="J62" s="7" t="s">
        <v>1081</v>
      </c>
      <c r="K62" s="7" t="s">
        <v>1072</v>
      </c>
      <c r="L62" s="12" t="s">
        <v>1297</v>
      </c>
      <c r="M62" s="7" t="s">
        <v>1074</v>
      </c>
    </row>
    <row r="63" customFormat="false" ht="34.5" hidden="false" customHeight="true" outlineLevel="0" collapsed="false">
      <c r="A63" s="13" t="n">
        <v>75</v>
      </c>
      <c r="B63" s="7" t="s">
        <v>700</v>
      </c>
      <c r="C63" s="7" t="s">
        <v>1298</v>
      </c>
      <c r="D63" s="7" t="s">
        <v>1119</v>
      </c>
      <c r="E63" s="14" t="s">
        <v>155</v>
      </c>
      <c r="F63" s="7" t="s">
        <v>136</v>
      </c>
      <c r="G63" s="7" t="s">
        <v>392</v>
      </c>
      <c r="H63" s="7" t="s">
        <v>393</v>
      </c>
      <c r="I63" s="7" t="s">
        <v>1070</v>
      </c>
      <c r="J63" s="7" t="s">
        <v>1081</v>
      </c>
      <c r="K63" s="7" t="s">
        <v>1072</v>
      </c>
      <c r="L63" s="12" t="s">
        <v>1299</v>
      </c>
      <c r="M63" s="7" t="s">
        <v>1074</v>
      </c>
    </row>
    <row r="64" customFormat="false" ht="34.5" hidden="false" customHeight="true" outlineLevel="0" collapsed="false">
      <c r="A64" s="13" t="n">
        <v>75</v>
      </c>
      <c r="B64" s="7" t="s">
        <v>1079</v>
      </c>
      <c r="C64" s="7" t="s">
        <v>1300</v>
      </c>
      <c r="D64" s="7" t="s">
        <v>1119</v>
      </c>
      <c r="E64" s="14" t="s">
        <v>155</v>
      </c>
      <c r="F64" s="7" t="s">
        <v>136</v>
      </c>
      <c r="G64" s="7" t="s">
        <v>392</v>
      </c>
      <c r="H64" s="7" t="s">
        <v>393</v>
      </c>
      <c r="I64" s="7" t="s">
        <v>1070</v>
      </c>
      <c r="J64" s="7" t="s">
        <v>1081</v>
      </c>
      <c r="K64" s="7" t="s">
        <v>1072</v>
      </c>
      <c r="L64" s="12" t="s">
        <v>1301</v>
      </c>
      <c r="M64" s="7" t="s">
        <v>1074</v>
      </c>
    </row>
    <row r="65" customFormat="false" ht="34.5" hidden="false" customHeight="true" outlineLevel="0" collapsed="false">
      <c r="A65" s="13" t="n">
        <v>75</v>
      </c>
      <c r="B65" s="7" t="s">
        <v>1302</v>
      </c>
      <c r="C65" s="7" t="s">
        <v>1303</v>
      </c>
      <c r="D65" s="7" t="s">
        <v>1119</v>
      </c>
      <c r="E65" s="14" t="s">
        <v>155</v>
      </c>
      <c r="F65" s="7" t="s">
        <v>136</v>
      </c>
      <c r="G65" s="7" t="s">
        <v>392</v>
      </c>
      <c r="H65" s="7" t="s">
        <v>393</v>
      </c>
      <c r="I65" s="7" t="s">
        <v>1070</v>
      </c>
      <c r="J65" s="7" t="s">
        <v>1081</v>
      </c>
      <c r="K65" s="7" t="s">
        <v>1072</v>
      </c>
      <c r="L65" s="12" t="s">
        <v>1304</v>
      </c>
      <c r="M65" s="7" t="s">
        <v>1074</v>
      </c>
    </row>
    <row r="66" customFormat="false" ht="34.5" hidden="false" customHeight="true" outlineLevel="0" collapsed="false">
      <c r="A66" s="13" t="n">
        <v>75</v>
      </c>
      <c r="B66" s="7" t="s">
        <v>1305</v>
      </c>
      <c r="C66" s="7" t="s">
        <v>1306</v>
      </c>
      <c r="D66" s="7" t="s">
        <v>1245</v>
      </c>
      <c r="E66" s="14" t="s">
        <v>155</v>
      </c>
      <c r="F66" s="7" t="s">
        <v>136</v>
      </c>
      <c r="G66" s="7" t="s">
        <v>392</v>
      </c>
      <c r="H66" s="7" t="s">
        <v>393</v>
      </c>
      <c r="I66" s="7" t="s">
        <v>1070</v>
      </c>
      <c r="J66" s="7" t="s">
        <v>1081</v>
      </c>
      <c r="K66" s="7" t="s">
        <v>1072</v>
      </c>
      <c r="L66" s="12" t="s">
        <v>1307</v>
      </c>
      <c r="M66" s="7" t="s">
        <v>1074</v>
      </c>
    </row>
    <row r="67" customFormat="false" ht="34.5" hidden="false" customHeight="true" outlineLevel="0" collapsed="false">
      <c r="A67" s="13" t="n">
        <v>73</v>
      </c>
      <c r="B67" s="7" t="s">
        <v>1308</v>
      </c>
      <c r="C67" s="7" t="s">
        <v>1309</v>
      </c>
      <c r="D67" s="7" t="s">
        <v>1310</v>
      </c>
      <c r="E67" s="14" t="s">
        <v>155</v>
      </c>
      <c r="F67" s="7" t="s">
        <v>136</v>
      </c>
      <c r="G67" s="7" t="s">
        <v>1311</v>
      </c>
      <c r="H67" s="7" t="s">
        <v>393</v>
      </c>
      <c r="I67" s="7" t="s">
        <v>1155</v>
      </c>
      <c r="J67" s="7" t="s">
        <v>1312</v>
      </c>
      <c r="K67" s="7" t="s">
        <v>1072</v>
      </c>
      <c r="L67" s="12" t="s">
        <v>1313</v>
      </c>
      <c r="M67" s="7" t="s">
        <v>1074</v>
      </c>
    </row>
    <row r="68" customFormat="false" ht="34.5" hidden="false" customHeight="true" outlineLevel="0" collapsed="false">
      <c r="A68" s="13" t="n">
        <v>73</v>
      </c>
      <c r="B68" s="7" t="s">
        <v>1314</v>
      </c>
      <c r="C68" s="7" t="s">
        <v>1315</v>
      </c>
      <c r="D68" s="7" t="s">
        <v>1163</v>
      </c>
      <c r="E68" s="14" t="s">
        <v>155</v>
      </c>
      <c r="F68" s="7" t="s">
        <v>136</v>
      </c>
      <c r="G68" s="7" t="s">
        <v>1164</v>
      </c>
      <c r="H68" s="7" t="s">
        <v>393</v>
      </c>
      <c r="I68" s="7" t="s">
        <v>1316</v>
      </c>
      <c r="J68" s="7" t="s">
        <v>1317</v>
      </c>
      <c r="K68" s="7" t="s">
        <v>1072</v>
      </c>
      <c r="L68" s="12" t="s">
        <v>1318</v>
      </c>
      <c r="M68" s="7" t="s">
        <v>1074</v>
      </c>
    </row>
    <row r="69" customFormat="false" ht="34.5" hidden="false" customHeight="true" outlineLevel="0" collapsed="false">
      <c r="A69" s="13" t="n">
        <v>73</v>
      </c>
      <c r="B69" s="7" t="s">
        <v>1319</v>
      </c>
      <c r="C69" s="7" t="s">
        <v>1320</v>
      </c>
      <c r="D69" s="7" t="s">
        <v>1186</v>
      </c>
      <c r="E69" s="14" t="s">
        <v>155</v>
      </c>
      <c r="F69" s="7" t="s">
        <v>136</v>
      </c>
      <c r="G69" s="7" t="s">
        <v>1098</v>
      </c>
      <c r="H69" s="7" t="s">
        <v>393</v>
      </c>
      <c r="I69" s="7" t="s">
        <v>1159</v>
      </c>
      <c r="J69" s="7" t="s">
        <v>1321</v>
      </c>
      <c r="K69" s="7" t="s">
        <v>1072</v>
      </c>
      <c r="L69" s="12" t="s">
        <v>1322</v>
      </c>
      <c r="M69" s="7" t="s">
        <v>1074</v>
      </c>
    </row>
    <row r="70" customFormat="false" ht="34.5" hidden="false" customHeight="true" outlineLevel="0" collapsed="false">
      <c r="A70" s="13" t="n">
        <v>73</v>
      </c>
      <c r="B70" s="7" t="s">
        <v>1323</v>
      </c>
      <c r="C70" s="7" t="s">
        <v>1324</v>
      </c>
      <c r="D70" s="7" t="s">
        <v>1325</v>
      </c>
      <c r="E70" s="14" t="s">
        <v>155</v>
      </c>
      <c r="F70" s="7" t="s">
        <v>136</v>
      </c>
      <c r="G70" s="7" t="s">
        <v>1098</v>
      </c>
      <c r="H70" s="7" t="s">
        <v>393</v>
      </c>
      <c r="I70" s="7" t="s">
        <v>1326</v>
      </c>
      <c r="J70" s="7" t="s">
        <v>1327</v>
      </c>
      <c r="K70" s="7" t="s">
        <v>1072</v>
      </c>
      <c r="L70" s="12" t="s">
        <v>1328</v>
      </c>
      <c r="M70" s="7" t="s">
        <v>1074</v>
      </c>
    </row>
    <row r="71" customFormat="false" ht="34.5" hidden="false" customHeight="true" outlineLevel="0" collapsed="false">
      <c r="A71" s="13" t="n">
        <v>73</v>
      </c>
      <c r="B71" s="7" t="s">
        <v>1083</v>
      </c>
      <c r="C71" s="7" t="s">
        <v>1329</v>
      </c>
      <c r="D71" s="7" t="s">
        <v>1330</v>
      </c>
      <c r="E71" s="14" t="s">
        <v>155</v>
      </c>
      <c r="F71" s="7" t="s">
        <v>136</v>
      </c>
      <c r="G71" s="7" t="s">
        <v>1098</v>
      </c>
      <c r="H71" s="7" t="s">
        <v>393</v>
      </c>
      <c r="I71" s="7" t="s">
        <v>1176</v>
      </c>
      <c r="J71" s="7" t="s">
        <v>1331</v>
      </c>
      <c r="K71" s="7" t="s">
        <v>1072</v>
      </c>
      <c r="L71" s="12" t="s">
        <v>1332</v>
      </c>
      <c r="M71" s="7" t="s">
        <v>1074</v>
      </c>
    </row>
    <row r="72" customFormat="false" ht="34.5" hidden="false" customHeight="true" outlineLevel="0" collapsed="false">
      <c r="A72" s="13" t="n">
        <v>73</v>
      </c>
      <c r="B72" s="7" t="s">
        <v>1333</v>
      </c>
      <c r="C72" s="7" t="s">
        <v>1334</v>
      </c>
      <c r="D72" s="7" t="s">
        <v>1163</v>
      </c>
      <c r="E72" s="14" t="s">
        <v>155</v>
      </c>
      <c r="F72" s="7" t="s">
        <v>136</v>
      </c>
      <c r="G72" s="7" t="s">
        <v>1098</v>
      </c>
      <c r="H72" s="7" t="s">
        <v>393</v>
      </c>
      <c r="I72" s="7" t="s">
        <v>1142</v>
      </c>
      <c r="J72" s="7" t="s">
        <v>1335</v>
      </c>
      <c r="K72" s="7" t="s">
        <v>1072</v>
      </c>
      <c r="L72" s="12" t="s">
        <v>1336</v>
      </c>
      <c r="M72" s="7" t="s">
        <v>1074</v>
      </c>
    </row>
    <row r="73" customFormat="false" ht="34.5" hidden="false" customHeight="true" outlineLevel="0" collapsed="false">
      <c r="A73" s="13" t="n">
        <v>73</v>
      </c>
      <c r="B73" s="7" t="s">
        <v>1337</v>
      </c>
      <c r="C73" s="7" t="s">
        <v>1338</v>
      </c>
      <c r="D73" s="7" t="s">
        <v>1339</v>
      </c>
      <c r="E73" s="14" t="s">
        <v>155</v>
      </c>
      <c r="F73" s="7" t="s">
        <v>136</v>
      </c>
      <c r="G73" s="7" t="s">
        <v>1098</v>
      </c>
      <c r="H73" s="7" t="s">
        <v>393</v>
      </c>
      <c r="I73" s="7" t="s">
        <v>1176</v>
      </c>
      <c r="J73" s="7" t="s">
        <v>1340</v>
      </c>
      <c r="K73" s="7" t="s">
        <v>1072</v>
      </c>
      <c r="L73" s="12" t="s">
        <v>1341</v>
      </c>
      <c r="M73" s="7" t="s">
        <v>1074</v>
      </c>
    </row>
    <row r="74" customFormat="false" ht="34.5" hidden="false" customHeight="true" outlineLevel="0" collapsed="false">
      <c r="A74" s="13" t="n">
        <v>73</v>
      </c>
      <c r="B74" s="7" t="s">
        <v>1342</v>
      </c>
      <c r="C74" s="7" t="s">
        <v>1343</v>
      </c>
      <c r="D74" s="7" t="s">
        <v>1344</v>
      </c>
      <c r="E74" s="14" t="s">
        <v>155</v>
      </c>
      <c r="F74" s="7" t="s">
        <v>136</v>
      </c>
      <c r="G74" s="7" t="s">
        <v>392</v>
      </c>
      <c r="H74" s="7" t="s">
        <v>393</v>
      </c>
      <c r="I74" s="7" t="s">
        <v>1070</v>
      </c>
      <c r="J74" s="7" t="s">
        <v>1345</v>
      </c>
      <c r="K74" s="7" t="s">
        <v>1072</v>
      </c>
      <c r="L74" s="12" t="s">
        <v>1346</v>
      </c>
      <c r="M74" s="7" t="s">
        <v>1074</v>
      </c>
    </row>
    <row r="75" customFormat="false" ht="34.5" hidden="false" customHeight="true" outlineLevel="0" collapsed="false">
      <c r="A75" s="13" t="n">
        <v>73</v>
      </c>
      <c r="B75" s="7" t="s">
        <v>1347</v>
      </c>
      <c r="C75" s="7" t="s">
        <v>1348</v>
      </c>
      <c r="D75" s="7" t="s">
        <v>1110</v>
      </c>
      <c r="E75" s="14" t="s">
        <v>155</v>
      </c>
      <c r="F75" s="7" t="s">
        <v>136</v>
      </c>
      <c r="G75" s="7" t="s">
        <v>392</v>
      </c>
      <c r="H75" s="7" t="s">
        <v>393</v>
      </c>
      <c r="I75" s="7" t="s">
        <v>1070</v>
      </c>
      <c r="J75" s="7" t="s">
        <v>1349</v>
      </c>
      <c r="K75" s="7" t="s">
        <v>1072</v>
      </c>
      <c r="L75" s="12" t="s">
        <v>1350</v>
      </c>
      <c r="M75" s="7" t="s">
        <v>1074</v>
      </c>
    </row>
    <row r="76" customFormat="false" ht="34.5" hidden="false" customHeight="true" outlineLevel="0" collapsed="false">
      <c r="A76" s="13" t="n">
        <v>73</v>
      </c>
      <c r="B76" s="7" t="s">
        <v>1351</v>
      </c>
      <c r="C76" s="7" t="s">
        <v>1352</v>
      </c>
      <c r="D76" s="7" t="s">
        <v>1110</v>
      </c>
      <c r="E76" s="14" t="s">
        <v>155</v>
      </c>
      <c r="F76" s="7" t="s">
        <v>136</v>
      </c>
      <c r="G76" s="7" t="s">
        <v>392</v>
      </c>
      <c r="H76" s="7" t="s">
        <v>393</v>
      </c>
      <c r="I76" s="7" t="s">
        <v>1070</v>
      </c>
      <c r="J76" s="7" t="s">
        <v>1353</v>
      </c>
      <c r="K76" s="7" t="s">
        <v>1072</v>
      </c>
      <c r="L76" s="12" t="s">
        <v>1354</v>
      </c>
      <c r="M76" s="7" t="s">
        <v>1074</v>
      </c>
    </row>
    <row r="77" customFormat="false" ht="34.5" hidden="false" customHeight="true" outlineLevel="0" collapsed="false">
      <c r="A77" s="13" t="n">
        <v>73</v>
      </c>
      <c r="B77" s="7" t="s">
        <v>700</v>
      </c>
      <c r="C77" s="7" t="s">
        <v>1355</v>
      </c>
      <c r="D77" s="7" t="s">
        <v>1356</v>
      </c>
      <c r="E77" s="14" t="s">
        <v>155</v>
      </c>
      <c r="F77" s="7" t="s">
        <v>136</v>
      </c>
      <c r="G77" s="7" t="s">
        <v>392</v>
      </c>
      <c r="H77" s="7" t="s">
        <v>393</v>
      </c>
      <c r="I77" s="7" t="s">
        <v>1070</v>
      </c>
      <c r="J77" s="7" t="s">
        <v>1357</v>
      </c>
      <c r="K77" s="7" t="s">
        <v>1072</v>
      </c>
      <c r="L77" s="12" t="s">
        <v>1358</v>
      </c>
      <c r="M77" s="7" t="s">
        <v>1074</v>
      </c>
    </row>
    <row r="78" customFormat="false" ht="34.5" hidden="false" customHeight="true" outlineLevel="0" collapsed="false">
      <c r="A78" s="13" t="n">
        <v>73</v>
      </c>
      <c r="B78" s="7" t="s">
        <v>1359</v>
      </c>
      <c r="C78" s="7" t="s">
        <v>1360</v>
      </c>
      <c r="D78" s="7" t="s">
        <v>1361</v>
      </c>
      <c r="E78" s="14" t="s">
        <v>155</v>
      </c>
      <c r="F78" s="7" t="s">
        <v>136</v>
      </c>
      <c r="G78" s="7" t="s">
        <v>392</v>
      </c>
      <c r="H78" s="7" t="s">
        <v>393</v>
      </c>
      <c r="I78" s="7" t="s">
        <v>1070</v>
      </c>
      <c r="J78" s="7" t="s">
        <v>1362</v>
      </c>
      <c r="K78" s="7" t="s">
        <v>1072</v>
      </c>
      <c r="L78" s="12" t="s">
        <v>1363</v>
      </c>
      <c r="M78" s="7" t="s">
        <v>1074</v>
      </c>
    </row>
    <row r="79" customFormat="false" ht="34.5" hidden="false" customHeight="true" outlineLevel="0" collapsed="false">
      <c r="A79" s="13" t="n">
        <v>68</v>
      </c>
      <c r="B79" s="7" t="s">
        <v>1364</v>
      </c>
      <c r="C79" s="7" t="s">
        <v>1365</v>
      </c>
      <c r="D79" s="7" t="s">
        <v>1110</v>
      </c>
      <c r="E79" s="14" t="s">
        <v>155</v>
      </c>
      <c r="F79" s="7" t="s">
        <v>136</v>
      </c>
      <c r="G79" s="7" t="s">
        <v>392</v>
      </c>
      <c r="H79" s="7" t="s">
        <v>393</v>
      </c>
      <c r="I79" s="7" t="s">
        <v>1070</v>
      </c>
      <c r="J79" s="7" t="s">
        <v>1366</v>
      </c>
      <c r="K79" s="7" t="s">
        <v>1072</v>
      </c>
      <c r="L79" s="12" t="s">
        <v>1367</v>
      </c>
      <c r="M79" s="7" t="s">
        <v>1074</v>
      </c>
    </row>
    <row r="80" customFormat="false" ht="34.5" hidden="false" customHeight="true" outlineLevel="0" collapsed="false">
      <c r="A80" s="10" t="n">
        <v>66</v>
      </c>
      <c r="B80" s="7" t="s">
        <v>1368</v>
      </c>
      <c r="C80" s="7" t="s">
        <v>1369</v>
      </c>
      <c r="D80" s="7" t="s">
        <v>1370</v>
      </c>
      <c r="E80" s="11" t="s">
        <v>72</v>
      </c>
      <c r="F80" s="7" t="s">
        <v>136</v>
      </c>
      <c r="G80" s="7" t="s">
        <v>1098</v>
      </c>
      <c r="H80" s="7" t="s">
        <v>393</v>
      </c>
      <c r="I80" s="7" t="s">
        <v>1371</v>
      </c>
      <c r="J80" s="7" t="s">
        <v>1372</v>
      </c>
      <c r="K80" s="7" t="s">
        <v>1072</v>
      </c>
      <c r="L80" s="12" t="s">
        <v>1373</v>
      </c>
      <c r="M80" s="7" t="s">
        <v>1074</v>
      </c>
    </row>
    <row r="81" customFormat="false" ht="34.5" hidden="false" customHeight="true" outlineLevel="0" collapsed="false">
      <c r="A81" s="13" t="n">
        <v>66</v>
      </c>
      <c r="B81" s="7" t="s">
        <v>1374</v>
      </c>
      <c r="C81" s="7" t="s">
        <v>1375</v>
      </c>
      <c r="D81" s="7" t="s">
        <v>1376</v>
      </c>
      <c r="E81" s="14" t="s">
        <v>155</v>
      </c>
      <c r="F81" s="7" t="s">
        <v>136</v>
      </c>
      <c r="G81" s="7" t="s">
        <v>1098</v>
      </c>
      <c r="H81" s="7" t="s">
        <v>393</v>
      </c>
      <c r="I81" s="7" t="s">
        <v>1142</v>
      </c>
      <c r="J81" s="7" t="s">
        <v>1128</v>
      </c>
      <c r="K81" s="7" t="s">
        <v>1072</v>
      </c>
      <c r="L81" s="12" t="s">
        <v>1377</v>
      </c>
      <c r="M81" s="7" t="s">
        <v>1074</v>
      </c>
    </row>
    <row r="82" customFormat="false" ht="34.5" hidden="false" customHeight="true" outlineLevel="0" collapsed="false">
      <c r="A82" s="13" t="n">
        <v>66</v>
      </c>
      <c r="B82" s="7" t="s">
        <v>1378</v>
      </c>
      <c r="C82" s="7" t="s">
        <v>1379</v>
      </c>
      <c r="D82" s="7" t="s">
        <v>1380</v>
      </c>
      <c r="E82" s="14" t="s">
        <v>155</v>
      </c>
      <c r="F82" s="7" t="s">
        <v>136</v>
      </c>
      <c r="G82" s="7" t="s">
        <v>392</v>
      </c>
      <c r="H82" s="7" t="s">
        <v>393</v>
      </c>
      <c r="I82" s="7" t="s">
        <v>1070</v>
      </c>
      <c r="J82" s="7" t="s">
        <v>1081</v>
      </c>
      <c r="K82" s="7" t="s">
        <v>1072</v>
      </c>
      <c r="L82" s="12" t="s">
        <v>1381</v>
      </c>
      <c r="M82" s="7" t="s">
        <v>1074</v>
      </c>
    </row>
    <row r="83" customFormat="false" ht="34.5" hidden="false" customHeight="true" outlineLevel="0" collapsed="false">
      <c r="A83" s="15" t="n">
        <v>65</v>
      </c>
      <c r="B83" s="7" t="s">
        <v>1382</v>
      </c>
      <c r="C83" s="7" t="s">
        <v>1383</v>
      </c>
      <c r="D83" s="7" t="s">
        <v>1384</v>
      </c>
      <c r="E83" s="16" t="s">
        <v>388</v>
      </c>
      <c r="F83" s="7" t="s">
        <v>136</v>
      </c>
      <c r="G83" s="7" t="s">
        <v>1385</v>
      </c>
      <c r="H83" s="7" t="s">
        <v>393</v>
      </c>
      <c r="I83" s="7" t="s">
        <v>1386</v>
      </c>
      <c r="J83" s="7" t="s">
        <v>1128</v>
      </c>
      <c r="K83" s="7" t="s">
        <v>1072</v>
      </c>
      <c r="L83" s="12" t="s">
        <v>1387</v>
      </c>
      <c r="M83" s="7" t="s">
        <v>1074</v>
      </c>
    </row>
    <row r="84" customFormat="false" ht="34.5" hidden="false" customHeight="true" outlineLevel="0" collapsed="false">
      <c r="A84" s="15" t="n">
        <v>65</v>
      </c>
      <c r="B84" s="7" t="s">
        <v>1388</v>
      </c>
      <c r="C84" s="7" t="s">
        <v>1389</v>
      </c>
      <c r="D84" s="7" t="s">
        <v>1104</v>
      </c>
      <c r="E84" s="16" t="s">
        <v>388</v>
      </c>
      <c r="F84" s="7" t="s">
        <v>136</v>
      </c>
      <c r="G84" s="7" t="s">
        <v>1390</v>
      </c>
      <c r="H84" s="7" t="s">
        <v>393</v>
      </c>
      <c r="I84" s="7" t="s">
        <v>1391</v>
      </c>
      <c r="J84" s="7" t="s">
        <v>1128</v>
      </c>
      <c r="K84" s="7" t="s">
        <v>1072</v>
      </c>
      <c r="L84" s="12" t="s">
        <v>1392</v>
      </c>
      <c r="M84" s="7" t="s">
        <v>1074</v>
      </c>
    </row>
    <row r="85" customFormat="false" ht="34.5" hidden="false" customHeight="true" outlineLevel="0" collapsed="false">
      <c r="A85" s="15" t="n">
        <v>65</v>
      </c>
      <c r="B85" s="7" t="s">
        <v>1393</v>
      </c>
      <c r="C85" s="7" t="s">
        <v>1394</v>
      </c>
      <c r="D85" s="7" t="s">
        <v>1384</v>
      </c>
      <c r="E85" s="16" t="s">
        <v>388</v>
      </c>
      <c r="F85" s="7" t="s">
        <v>136</v>
      </c>
      <c r="G85" s="7" t="s">
        <v>1395</v>
      </c>
      <c r="H85" s="7" t="s">
        <v>393</v>
      </c>
      <c r="I85" s="7" t="s">
        <v>1386</v>
      </c>
      <c r="J85" s="7" t="s">
        <v>1128</v>
      </c>
      <c r="K85" s="7" t="s">
        <v>1072</v>
      </c>
      <c r="L85" s="12" t="s">
        <v>1396</v>
      </c>
      <c r="M85" s="7" t="s">
        <v>1074</v>
      </c>
    </row>
    <row r="86" customFormat="false" ht="34.5" hidden="false" customHeight="true" outlineLevel="0" collapsed="false">
      <c r="A86" s="13" t="n">
        <v>64</v>
      </c>
      <c r="B86" s="7" t="s">
        <v>1397</v>
      </c>
      <c r="C86" s="7" t="s">
        <v>1398</v>
      </c>
      <c r="D86" s="7" t="s">
        <v>1399</v>
      </c>
      <c r="E86" s="14" t="s">
        <v>155</v>
      </c>
      <c r="F86" s="7" t="s">
        <v>136</v>
      </c>
      <c r="G86" s="7" t="s">
        <v>1311</v>
      </c>
      <c r="H86" s="7" t="s">
        <v>393</v>
      </c>
      <c r="I86" s="7" t="s">
        <v>1213</v>
      </c>
      <c r="J86" s="7" t="s">
        <v>1400</v>
      </c>
      <c r="K86" s="7" t="s">
        <v>1072</v>
      </c>
      <c r="L86" s="12" t="s">
        <v>1401</v>
      </c>
      <c r="M86" s="7" t="s">
        <v>1074</v>
      </c>
    </row>
    <row r="87" customFormat="false" ht="34.5" hidden="false" customHeight="true" outlineLevel="0" collapsed="false">
      <c r="A87" s="13" t="n">
        <v>64</v>
      </c>
      <c r="B87" s="7" t="s">
        <v>1402</v>
      </c>
      <c r="C87" s="7" t="s">
        <v>1403</v>
      </c>
      <c r="D87" s="7" t="s">
        <v>1404</v>
      </c>
      <c r="E87" s="14" t="s">
        <v>155</v>
      </c>
      <c r="F87" s="7" t="s">
        <v>136</v>
      </c>
      <c r="G87" s="7" t="s">
        <v>1311</v>
      </c>
      <c r="H87" s="7" t="s">
        <v>393</v>
      </c>
      <c r="I87" s="7" t="s">
        <v>1127</v>
      </c>
      <c r="J87" s="7" t="s">
        <v>1405</v>
      </c>
      <c r="K87" s="7" t="s">
        <v>1072</v>
      </c>
      <c r="L87" s="12" t="s">
        <v>1406</v>
      </c>
      <c r="M87" s="7" t="s">
        <v>1074</v>
      </c>
    </row>
    <row r="88" customFormat="false" ht="34.5" hidden="false" customHeight="true" outlineLevel="0" collapsed="false">
      <c r="A88" s="13" t="n">
        <v>64</v>
      </c>
      <c r="B88" s="7" t="s">
        <v>1402</v>
      </c>
      <c r="C88" s="7" t="s">
        <v>1407</v>
      </c>
      <c r="D88" s="7" t="s">
        <v>1404</v>
      </c>
      <c r="E88" s="14" t="s">
        <v>155</v>
      </c>
      <c r="F88" s="7" t="s">
        <v>136</v>
      </c>
      <c r="G88" s="7" t="s">
        <v>1311</v>
      </c>
      <c r="H88" s="7" t="s">
        <v>393</v>
      </c>
      <c r="I88" s="7" t="s">
        <v>1127</v>
      </c>
      <c r="J88" s="7" t="s">
        <v>1408</v>
      </c>
      <c r="K88" s="7" t="s">
        <v>1072</v>
      </c>
      <c r="L88" s="12" t="s">
        <v>1409</v>
      </c>
      <c r="M88" s="7" t="s">
        <v>1074</v>
      </c>
    </row>
    <row r="89" customFormat="false" ht="34.5" hidden="false" customHeight="true" outlineLevel="0" collapsed="false">
      <c r="A89" s="13" t="n">
        <v>64</v>
      </c>
      <c r="B89" s="7" t="s">
        <v>1410</v>
      </c>
      <c r="C89" s="7" t="s">
        <v>1411</v>
      </c>
      <c r="D89" s="7" t="s">
        <v>1412</v>
      </c>
      <c r="E89" s="14" t="s">
        <v>155</v>
      </c>
      <c r="F89" s="7" t="s">
        <v>136</v>
      </c>
      <c r="G89" s="7" t="s">
        <v>392</v>
      </c>
      <c r="H89" s="7" t="s">
        <v>393</v>
      </c>
      <c r="I89" s="7" t="s">
        <v>1070</v>
      </c>
      <c r="J89" s="7" t="s">
        <v>1413</v>
      </c>
      <c r="K89" s="7" t="s">
        <v>1072</v>
      </c>
      <c r="L89" s="12" t="s">
        <v>1414</v>
      </c>
      <c r="M89" s="7" t="s">
        <v>1074</v>
      </c>
    </row>
    <row r="90" customFormat="false" ht="34.5" hidden="false" customHeight="true" outlineLevel="0" collapsed="false">
      <c r="A90" s="15" t="n">
        <v>58</v>
      </c>
      <c r="B90" s="7" t="s">
        <v>1415</v>
      </c>
      <c r="C90" s="7" t="s">
        <v>1416</v>
      </c>
      <c r="D90" s="7" t="s">
        <v>1384</v>
      </c>
      <c r="E90" s="16" t="s">
        <v>388</v>
      </c>
      <c r="F90" s="7" t="s">
        <v>136</v>
      </c>
      <c r="G90" s="7" t="s">
        <v>1417</v>
      </c>
      <c r="H90" s="7" t="s">
        <v>393</v>
      </c>
      <c r="I90" s="7" t="s">
        <v>1418</v>
      </c>
      <c r="J90" s="7" t="s">
        <v>1128</v>
      </c>
      <c r="K90" s="7" t="s">
        <v>1072</v>
      </c>
      <c r="L90" s="12" t="s">
        <v>1419</v>
      </c>
      <c r="M90" s="7" t="s">
        <v>1074</v>
      </c>
    </row>
    <row r="91" customFormat="false" ht="34.5" hidden="false" customHeight="true" outlineLevel="0" collapsed="false">
      <c r="A91" s="13" t="n">
        <v>57</v>
      </c>
      <c r="B91" s="7" t="s">
        <v>1420</v>
      </c>
      <c r="C91" s="7" t="s">
        <v>1421</v>
      </c>
      <c r="D91" s="7" t="s">
        <v>1422</v>
      </c>
      <c r="E91" s="14" t="s">
        <v>155</v>
      </c>
      <c r="F91" s="7" t="s">
        <v>136</v>
      </c>
      <c r="G91" s="7" t="s">
        <v>1098</v>
      </c>
      <c r="H91" s="7" t="s">
        <v>393</v>
      </c>
      <c r="I91" s="7" t="s">
        <v>1105</v>
      </c>
      <c r="J91" s="7" t="s">
        <v>1423</v>
      </c>
      <c r="K91" s="7" t="s">
        <v>1072</v>
      </c>
      <c r="L91" s="12" t="s">
        <v>1424</v>
      </c>
      <c r="M91" s="7" t="s">
        <v>1074</v>
      </c>
    </row>
    <row r="92" customFormat="false" ht="34.5" hidden="false" customHeight="true" outlineLevel="0" collapsed="false">
      <c r="A92" s="15" t="n">
        <v>49</v>
      </c>
      <c r="B92" s="7" t="s">
        <v>1425</v>
      </c>
      <c r="C92" s="7" t="s">
        <v>1426</v>
      </c>
      <c r="D92" s="7" t="s">
        <v>1427</v>
      </c>
      <c r="E92" s="16" t="s">
        <v>388</v>
      </c>
      <c r="F92" s="7" t="s">
        <v>136</v>
      </c>
      <c r="G92" s="7" t="s">
        <v>1395</v>
      </c>
      <c r="H92" s="7" t="s">
        <v>393</v>
      </c>
      <c r="I92" s="7" t="s">
        <v>1428</v>
      </c>
      <c r="J92" s="7" t="s">
        <v>1128</v>
      </c>
      <c r="K92" s="7" t="s">
        <v>1072</v>
      </c>
      <c r="L92" s="12" t="s">
        <v>1429</v>
      </c>
      <c r="M92" s="7" t="s">
        <v>1074</v>
      </c>
    </row>
  </sheetData>
  <autoFilter ref="A4:M92"/>
  <hyperlinks>
    <hyperlink ref="L5" r:id="rId1" display="https://www.linkedin.com/jobs/view/4416294264/"/>
    <hyperlink ref="L6" r:id="rId2" display="https://www.linkedin.com/jobs/view/4445848675/"/>
    <hyperlink ref="L7" r:id="rId3" display="https://www.linkedin.com/jobs/view/4440116826/"/>
    <hyperlink ref="L8" r:id="rId4" display="https://www.linkedin.com/jobs/view/4416402281/"/>
    <hyperlink ref="L9" r:id="rId5" display="https://www.linkedin.com/jobs/view/4447533037/"/>
    <hyperlink ref="L10" r:id="rId6" display="https://www.linkedin.com/jobs/view/4447529645/"/>
    <hyperlink ref="L11" r:id="rId7" display="https://www.linkedin.com/jobs/view/4416885598/"/>
    <hyperlink ref="L12" r:id="rId8" display="https://www.linkedin.com/jobs/view/4428825661/"/>
    <hyperlink ref="L13" r:id="rId9" display="https://www.linkedin.com/jobs/view/4443816208/"/>
    <hyperlink ref="L14" r:id="rId10" display="https://www.linkedin.com/jobs/view/4447996831/"/>
    <hyperlink ref="L15" r:id="rId11" display="https://www.linkedin.com/jobs/view/4440157888/"/>
    <hyperlink ref="L16" r:id="rId12" display="https://www.linkedin.com/jobs/view/4439151703/"/>
    <hyperlink ref="L17" r:id="rId13" display="https://www.linkedin.com/jobs/view/4446249585/"/>
    <hyperlink ref="L18" r:id="rId14" display="https://www.linkedin.com/jobs/view/4448096852/"/>
    <hyperlink ref="L19" r:id="rId15" display="https://www.linkedin.com/jobs/view/4439731054/"/>
    <hyperlink ref="L20" r:id="rId16" display="https://www.linkedin.com/jobs/view/4449477191/"/>
    <hyperlink ref="L21" r:id="rId17" display="https://www.linkedin.com/jobs/view/4447987900/"/>
    <hyperlink ref="L22" r:id="rId18" display="https://www.linkedin.com/jobs/view/4448633098/"/>
    <hyperlink ref="L23" r:id="rId19" display="https://www.linkedin.com/jobs/view/4445535821/"/>
    <hyperlink ref="L24" r:id="rId20" display="https://www.linkedin.com/jobs/view/4431403123/"/>
    <hyperlink ref="L25" r:id="rId21" display="https://www.linkedin.com/jobs/view/4445030623/"/>
    <hyperlink ref="L26" r:id="rId22" display="https://www.linkedin.com/jobs/view/4440855987/"/>
    <hyperlink ref="L27" r:id="rId23" display="https://www.linkedin.com/jobs/view/4446253180/"/>
    <hyperlink ref="L28" r:id="rId24" display="https://www.linkedin.com/jobs/view/4447125262/"/>
    <hyperlink ref="L29" r:id="rId25" display="https://www.linkedin.com/jobs/view/4441023666/"/>
    <hyperlink ref="L30" r:id="rId26" display="https://www.linkedin.com/jobs/view/4448984192/"/>
    <hyperlink ref="L31" r:id="rId27" display="https://www.linkedin.com/jobs/view/4437411822/"/>
    <hyperlink ref="L32" r:id="rId28" display="https://www.linkedin.com/jobs/view/4447197994/"/>
    <hyperlink ref="L33" r:id="rId29" display="https://www.linkedin.com/jobs/view/4436225454/"/>
    <hyperlink ref="L34" r:id="rId30" display="https://www.linkedin.com/jobs/view/4447317507/"/>
    <hyperlink ref="L35" r:id="rId31" display="https://www.linkedin.com/jobs/view/4445586742/"/>
    <hyperlink ref="L36" r:id="rId32" display="https://www.linkedin.com/jobs/view/4429696197/"/>
    <hyperlink ref="L37" r:id="rId33" display="https://www.linkedin.com/jobs/view/4445518098/"/>
    <hyperlink ref="L38" r:id="rId34" display="https://www.linkedin.com/jobs/view/4447377627/"/>
    <hyperlink ref="L39" r:id="rId35" display="https://www.linkedin.com/jobs/view/4447361781/"/>
    <hyperlink ref="L40" r:id="rId36" display="https://www.linkedin.com/jobs/view/4448582882/"/>
    <hyperlink ref="L41" r:id="rId37" display="https://www.linkedin.com/jobs/view/4447989368/"/>
    <hyperlink ref="L42" r:id="rId38" display="https://www.linkedin.com/jobs/view/4446223655/"/>
    <hyperlink ref="L43" r:id="rId39" display="https://www.linkedin.com/jobs/view/4447334123/"/>
    <hyperlink ref="L44" r:id="rId40" display="https://www.linkedin.com/jobs/view/4447219331/"/>
    <hyperlink ref="L45" r:id="rId41" display="https://www.linkedin.com/jobs/view/4450238978/"/>
    <hyperlink ref="L46" r:id="rId42" display="https://www.linkedin.com/jobs/view/4438594658/"/>
    <hyperlink ref="L47" r:id="rId43" display="https://www.linkedin.com/jobs/view/4431221667/"/>
    <hyperlink ref="L48" r:id="rId44" display="https://www.linkedin.com/jobs/view/4437819726/"/>
    <hyperlink ref="L49" r:id="rId45" display="https://www.linkedin.com/jobs/view/4442864790/"/>
    <hyperlink ref="L50" r:id="rId46" display="https://www.linkedin.com/jobs/view/4445925920/"/>
    <hyperlink ref="L51" r:id="rId47" display="https://www.linkedin.com/jobs/view/4444437033/"/>
    <hyperlink ref="L52" r:id="rId48" display="https://www.linkedin.com/jobs/view/4439027450/"/>
    <hyperlink ref="L53" r:id="rId49" display="https://www.linkedin.com/jobs/view/4446033941/"/>
    <hyperlink ref="L54" r:id="rId50" display="https://www.linkedin.com/jobs/view/4441822374/"/>
    <hyperlink ref="L55" r:id="rId51" display="https://www.linkedin.com/jobs/view/4445374311/"/>
    <hyperlink ref="L56" r:id="rId52" display="https://www.linkedin.com/jobs/view/4444963461/"/>
    <hyperlink ref="L57" r:id="rId53" display="https://www.linkedin.com/jobs/view/4448896595/"/>
    <hyperlink ref="L58" r:id="rId54" display="https://www.linkedin.com/jobs/view/4444541367/"/>
    <hyperlink ref="L59" r:id="rId55" display="https://www.linkedin.com/jobs/view/4449461841/"/>
    <hyperlink ref="L60" r:id="rId56" display="https://www.linkedin.com/jobs/view/4442629022/"/>
    <hyperlink ref="L61" r:id="rId57" display="https://www.linkedin.com/jobs/view/4445909297/"/>
    <hyperlink ref="L62" r:id="rId58" display="https://www.linkedin.com/jobs/view/4431938372/"/>
    <hyperlink ref="L63" r:id="rId59" display="https://www.linkedin.com/jobs/view/4437995961/"/>
    <hyperlink ref="L64" r:id="rId60" display="https://www.linkedin.com/jobs/view/4447574100/"/>
    <hyperlink ref="L65" r:id="rId61" display="https://www.linkedin.com/jobs/view/4446353743/"/>
    <hyperlink ref="L66" r:id="rId62" display="https://www.linkedin.com/jobs/view/4440161748/"/>
    <hyperlink ref="L67" r:id="rId63" display="https://www.linkedin.com/jobs/view/4435906115/"/>
    <hyperlink ref="L68" r:id="rId64" display="https://www.linkedin.com/jobs/view/4440970395/"/>
    <hyperlink ref="L69" r:id="rId65" display="https://www.linkedin.com/jobs/view/4446928967/"/>
    <hyperlink ref="L70" r:id="rId66" display="https://www.linkedin.com/jobs/view/4448047301/"/>
    <hyperlink ref="L71" r:id="rId67" display="https://www.linkedin.com/jobs/view/4447977775/"/>
    <hyperlink ref="L72" r:id="rId68" display="https://www.linkedin.com/jobs/view/4449635371/"/>
    <hyperlink ref="L73" r:id="rId69" display="https://www.linkedin.com/jobs/view/4447996582/"/>
    <hyperlink ref="L74" r:id="rId70" display="https://www.linkedin.com/jobs/view/4448883625/"/>
    <hyperlink ref="L75" r:id="rId71" display="https://www.linkedin.com/jobs/view/4443284894/"/>
    <hyperlink ref="L76" r:id="rId72" display="https://www.linkedin.com/jobs/view/4446991563/"/>
    <hyperlink ref="L77" r:id="rId73" display="https://www.linkedin.com/jobs/view/4445097573/"/>
    <hyperlink ref="L78" r:id="rId74" display="https://www.linkedin.com/jobs/view/4445643134/"/>
    <hyperlink ref="L79" r:id="rId75" display="https://www.linkedin.com/jobs/view/4432839113/"/>
    <hyperlink ref="L80" r:id="rId76" display="https://www.linkedin.com/jobs/view/4448398622/"/>
    <hyperlink ref="L81" r:id="rId77" display="https://www.linkedin.com/jobs/view/4399694891/"/>
    <hyperlink ref="L82" r:id="rId78" display="https://www.linkedin.com/jobs/view/4433111445/"/>
    <hyperlink ref="L83" r:id="rId79" display="https://www.linkedin.com/jobs/view/4450214033/"/>
    <hyperlink ref="L84" r:id="rId80" display="https://www.linkedin.com/jobs/view/4448866303/"/>
    <hyperlink ref="L85" r:id="rId81" display="https://www.linkedin.com/jobs/view/4449996877/"/>
    <hyperlink ref="L86" r:id="rId82" display="https://www.linkedin.com/jobs/view/4449619696/"/>
    <hyperlink ref="L87" r:id="rId83" display="https://www.linkedin.com/jobs/view/4448536145/"/>
    <hyperlink ref="L88" r:id="rId84" display="https://www.linkedin.com/jobs/view/4448553071/"/>
    <hyperlink ref="L89" r:id="rId85" display="https://www.linkedin.com/jobs/view/4436845106/"/>
    <hyperlink ref="L90" r:id="rId86" display="https://www.linkedin.com/jobs/view/4450200824/"/>
    <hyperlink ref="L91" r:id="rId87" display="https://www.linkedin.com/jobs/view/4390700737/"/>
    <hyperlink ref="L92" r:id="rId88" display="https://www.linkedin.com/jobs/view/436560889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26"/>
    <col collapsed="false" customWidth="true" hidden="false" outlineLevel="0" max="4" min="4" style="1" width="46"/>
    <col collapsed="false" customWidth="true" hidden="false" outlineLevel="0" max="5" min="5" style="1" width="7"/>
    <col collapsed="false" customWidth="true" hidden="false" outlineLevel="0" max="6" min="6" style="1" width="13"/>
    <col collapsed="false" customWidth="true" hidden="false" outlineLevel="0" max="8" min="7" style="1" width="34"/>
    <col collapsed="false" customWidth="true" hidden="false" outlineLevel="0" max="9" min="9" style="1" width="22"/>
    <col collapsed="false" customWidth="true" hidden="false" outlineLevel="0" max="12" min="10" style="1" width="74"/>
    <col collapsed="false" customWidth="true" hidden="false" outlineLevel="0" max="13" min="13" style="1" width="50"/>
    <col collapsed="false" customWidth="true" hidden="false" outlineLevel="0" max="14" min="14" style="1" width="60"/>
  </cols>
  <sheetData>
    <row r="1" customFormat="false" ht="18" hidden="false" customHeight="true" outlineLevel="0" collapsed="false">
      <c r="A1" s="2" t="s">
        <v>1430</v>
      </c>
    </row>
    <row r="2" customFormat="false" ht="15" hidden="false" customHeight="true" outlineLevel="0" collapsed="false">
      <c r="A2" s="3" t="s">
        <v>1431</v>
      </c>
    </row>
    <row r="4" customFormat="false" ht="30" hidden="false" customHeight="true" outlineLevel="0" collapsed="false">
      <c r="A4" s="4" t="s">
        <v>45</v>
      </c>
      <c r="B4" s="4" t="s">
        <v>57</v>
      </c>
      <c r="C4" s="4" t="s">
        <v>58</v>
      </c>
      <c r="D4" s="4" t="s">
        <v>59</v>
      </c>
      <c r="E4" s="4" t="s">
        <v>60</v>
      </c>
      <c r="F4" s="4" t="s">
        <v>61</v>
      </c>
      <c r="G4" s="4" t="s">
        <v>62</v>
      </c>
      <c r="H4" s="4" t="s">
        <v>63</v>
      </c>
      <c r="I4" s="4" t="s">
        <v>64</v>
      </c>
      <c r="J4" s="4" t="s">
        <v>1432</v>
      </c>
      <c r="K4" s="4" t="s">
        <v>65</v>
      </c>
      <c r="L4" s="4" t="s">
        <v>66</v>
      </c>
      <c r="M4" s="4" t="s">
        <v>67</v>
      </c>
      <c r="N4" s="4" t="s">
        <v>68</v>
      </c>
    </row>
    <row r="5" customFormat="false" ht="23.25" hidden="false" customHeight="true" outlineLevel="0" collapsed="false">
      <c r="A5" s="10" t="n">
        <v>99</v>
      </c>
      <c r="B5" s="7" t="s">
        <v>289</v>
      </c>
      <c r="C5" s="7" t="s">
        <v>1433</v>
      </c>
      <c r="D5" s="7" t="s">
        <v>1434</v>
      </c>
      <c r="E5" s="11" t="s">
        <v>72</v>
      </c>
      <c r="F5" s="7" t="s">
        <v>136</v>
      </c>
      <c r="G5" s="7" t="s">
        <v>1435</v>
      </c>
      <c r="H5" s="7" t="s">
        <v>1436</v>
      </c>
      <c r="I5" s="7" t="s">
        <v>1437</v>
      </c>
      <c r="J5" s="7" t="s">
        <v>1438</v>
      </c>
      <c r="K5" s="7" t="s">
        <v>1439</v>
      </c>
      <c r="L5" s="7" t="s">
        <v>1440</v>
      </c>
      <c r="M5" s="12" t="s">
        <v>1441</v>
      </c>
      <c r="N5" s="7" t="s">
        <v>1442</v>
      </c>
    </row>
    <row r="6" customFormat="false" ht="23.25" hidden="false" customHeight="true" outlineLevel="0" collapsed="false">
      <c r="A6" s="13" t="n">
        <v>85</v>
      </c>
      <c r="B6" s="7" t="s">
        <v>1443</v>
      </c>
      <c r="C6" s="7" t="s">
        <v>1444</v>
      </c>
      <c r="D6" s="7" t="s">
        <v>1445</v>
      </c>
      <c r="E6" s="14" t="s">
        <v>155</v>
      </c>
      <c r="F6" s="7" t="s">
        <v>136</v>
      </c>
      <c r="G6" s="7" t="s">
        <v>1446</v>
      </c>
      <c r="H6" s="7" t="s">
        <v>102</v>
      </c>
      <c r="I6" s="7" t="s">
        <v>102</v>
      </c>
      <c r="J6" s="7" t="s">
        <v>1447</v>
      </c>
      <c r="K6" s="7" t="s">
        <v>1448</v>
      </c>
      <c r="L6" s="7" t="s">
        <v>1449</v>
      </c>
      <c r="M6" s="12" t="s">
        <v>1450</v>
      </c>
      <c r="N6" s="7" t="s">
        <v>1451</v>
      </c>
    </row>
    <row r="7" customFormat="false" ht="45.75" hidden="false" customHeight="true" outlineLevel="0" collapsed="false">
      <c r="A7" s="10" t="n">
        <v>82</v>
      </c>
      <c r="B7" s="7" t="s">
        <v>1452</v>
      </c>
      <c r="C7" s="7" t="s">
        <v>1453</v>
      </c>
      <c r="D7" s="7" t="s">
        <v>172</v>
      </c>
      <c r="E7" s="11" t="s">
        <v>72</v>
      </c>
      <c r="F7" s="7" t="s">
        <v>173</v>
      </c>
      <c r="G7" s="7" t="s">
        <v>173</v>
      </c>
      <c r="H7" s="7" t="s">
        <v>173</v>
      </c>
      <c r="I7" s="7" t="s">
        <v>174</v>
      </c>
      <c r="J7" s="7" t="s">
        <v>1454</v>
      </c>
      <c r="K7" s="7" t="s">
        <v>172</v>
      </c>
      <c r="L7" s="7" t="s">
        <v>172</v>
      </c>
      <c r="M7" s="12" t="s">
        <v>1455</v>
      </c>
      <c r="N7" s="7" t="s">
        <v>176</v>
      </c>
    </row>
    <row r="8" customFormat="false" ht="23.25" hidden="false" customHeight="true" outlineLevel="0" collapsed="false">
      <c r="A8" s="13" t="n">
        <v>80</v>
      </c>
      <c r="B8" s="7" t="s">
        <v>1456</v>
      </c>
      <c r="C8" s="7" t="s">
        <v>1457</v>
      </c>
      <c r="D8" s="7" t="s">
        <v>1458</v>
      </c>
      <c r="E8" s="14" t="s">
        <v>155</v>
      </c>
      <c r="F8" s="7" t="s">
        <v>136</v>
      </c>
      <c r="G8" s="7" t="s">
        <v>1459</v>
      </c>
      <c r="H8" s="7" t="s">
        <v>102</v>
      </c>
      <c r="I8" s="7" t="s">
        <v>102</v>
      </c>
      <c r="J8" s="7" t="s">
        <v>1460</v>
      </c>
      <c r="K8" s="7" t="s">
        <v>1461</v>
      </c>
      <c r="L8" s="7" t="s">
        <v>1462</v>
      </c>
      <c r="M8" s="12" t="s">
        <v>1463</v>
      </c>
      <c r="N8" s="7" t="s">
        <v>1464</v>
      </c>
    </row>
    <row r="9" customFormat="false" ht="45.75" hidden="false" customHeight="true" outlineLevel="0" collapsed="false">
      <c r="A9" s="10" t="n">
        <v>76</v>
      </c>
      <c r="B9" s="7" t="s">
        <v>1465</v>
      </c>
      <c r="C9" s="7" t="s">
        <v>1453</v>
      </c>
      <c r="D9" s="7" t="s">
        <v>172</v>
      </c>
      <c r="E9" s="11" t="s">
        <v>72</v>
      </c>
      <c r="F9" s="7" t="s">
        <v>173</v>
      </c>
      <c r="G9" s="7" t="s">
        <v>173</v>
      </c>
      <c r="H9" s="7" t="s">
        <v>173</v>
      </c>
      <c r="I9" s="7" t="s">
        <v>174</v>
      </c>
      <c r="J9" s="7" t="s">
        <v>1454</v>
      </c>
      <c r="K9" s="7" t="s">
        <v>172</v>
      </c>
      <c r="L9" s="7" t="s">
        <v>172</v>
      </c>
      <c r="M9" s="12" t="s">
        <v>1466</v>
      </c>
      <c r="N9" s="7" t="s">
        <v>176</v>
      </c>
    </row>
    <row r="10" customFormat="false" ht="23.25" hidden="false" customHeight="true" outlineLevel="0" collapsed="false">
      <c r="A10" s="10" t="n">
        <v>74</v>
      </c>
      <c r="B10" s="7" t="s">
        <v>1467</v>
      </c>
      <c r="C10" s="7" t="s">
        <v>1052</v>
      </c>
      <c r="D10" s="7" t="s">
        <v>172</v>
      </c>
      <c r="E10" s="11" t="s">
        <v>72</v>
      </c>
      <c r="F10" s="7" t="s">
        <v>173</v>
      </c>
      <c r="G10" s="7" t="s">
        <v>173</v>
      </c>
      <c r="H10" s="7" t="s">
        <v>173</v>
      </c>
      <c r="I10" s="7" t="s">
        <v>174</v>
      </c>
      <c r="J10" s="7" t="s">
        <v>1454</v>
      </c>
      <c r="K10" s="7" t="s">
        <v>172</v>
      </c>
      <c r="L10" s="7" t="s">
        <v>172</v>
      </c>
      <c r="M10" s="12" t="s">
        <v>1468</v>
      </c>
      <c r="N10" s="7" t="s">
        <v>176</v>
      </c>
    </row>
    <row r="11" customFormat="false" ht="23.25" hidden="false" customHeight="true" outlineLevel="0" collapsed="false">
      <c r="A11" s="10" t="n">
        <v>73</v>
      </c>
      <c r="B11" s="7" t="s">
        <v>1469</v>
      </c>
      <c r="C11" s="7" t="s">
        <v>1052</v>
      </c>
      <c r="D11" s="7" t="s">
        <v>172</v>
      </c>
      <c r="E11" s="11" t="s">
        <v>72</v>
      </c>
      <c r="F11" s="7" t="s">
        <v>173</v>
      </c>
      <c r="G11" s="7" t="s">
        <v>173</v>
      </c>
      <c r="H11" s="7" t="s">
        <v>173</v>
      </c>
      <c r="I11" s="7" t="s">
        <v>174</v>
      </c>
      <c r="J11" s="7" t="s">
        <v>1454</v>
      </c>
      <c r="K11" s="7" t="s">
        <v>172</v>
      </c>
      <c r="L11" s="7" t="s">
        <v>172</v>
      </c>
      <c r="M11" s="12" t="s">
        <v>1470</v>
      </c>
      <c r="N11" s="7" t="s">
        <v>176</v>
      </c>
    </row>
    <row r="12" customFormat="false" ht="23.25" hidden="false" customHeight="true" outlineLevel="0" collapsed="false">
      <c r="A12" s="13" t="n">
        <v>72</v>
      </c>
      <c r="B12" s="7" t="s">
        <v>1471</v>
      </c>
      <c r="C12" s="7" t="s">
        <v>1472</v>
      </c>
      <c r="D12" s="7" t="s">
        <v>1473</v>
      </c>
      <c r="E12" s="14" t="s">
        <v>155</v>
      </c>
      <c r="F12" s="7" t="s">
        <v>136</v>
      </c>
      <c r="G12" s="7" t="s">
        <v>1474</v>
      </c>
      <c r="H12" s="7" t="s">
        <v>102</v>
      </c>
      <c r="I12" s="7" t="s">
        <v>102</v>
      </c>
      <c r="J12" s="7" t="s">
        <v>1475</v>
      </c>
      <c r="K12" s="7" t="s">
        <v>1476</v>
      </c>
      <c r="L12" s="7" t="s">
        <v>1477</v>
      </c>
      <c r="M12" s="12" t="s">
        <v>1478</v>
      </c>
      <c r="N12" s="7" t="s">
        <v>1479</v>
      </c>
    </row>
    <row r="13" customFormat="false" ht="23.25" hidden="false" customHeight="true" outlineLevel="0" collapsed="false">
      <c r="A13" s="13" t="n">
        <v>70</v>
      </c>
      <c r="B13" s="7" t="s">
        <v>1480</v>
      </c>
      <c r="C13" s="7" t="s">
        <v>1481</v>
      </c>
      <c r="D13" s="7" t="s">
        <v>210</v>
      </c>
      <c r="E13" s="14" t="s">
        <v>155</v>
      </c>
      <c r="F13" s="7" t="s">
        <v>136</v>
      </c>
      <c r="G13" s="7" t="s">
        <v>1482</v>
      </c>
      <c r="H13" s="7" t="s">
        <v>102</v>
      </c>
      <c r="I13" s="7" t="s">
        <v>174</v>
      </c>
      <c r="J13" s="7" t="s">
        <v>1438</v>
      </c>
      <c r="K13" s="7" t="s">
        <v>1483</v>
      </c>
      <c r="L13" s="7" t="s">
        <v>1484</v>
      </c>
      <c r="M13" s="12" t="s">
        <v>1485</v>
      </c>
      <c r="N13" s="7" t="s">
        <v>1486</v>
      </c>
    </row>
    <row r="14" customFormat="false" ht="45.75" hidden="false" customHeight="true" outlineLevel="0" collapsed="false">
      <c r="A14" s="13" t="n">
        <v>70</v>
      </c>
      <c r="B14" s="7" t="s">
        <v>1487</v>
      </c>
      <c r="C14" s="7" t="s">
        <v>1488</v>
      </c>
      <c r="D14" s="7" t="s">
        <v>1489</v>
      </c>
      <c r="E14" s="14" t="s">
        <v>155</v>
      </c>
      <c r="F14" s="7" t="s">
        <v>136</v>
      </c>
      <c r="G14" s="7" t="s">
        <v>1490</v>
      </c>
      <c r="H14" s="7" t="s">
        <v>1491</v>
      </c>
      <c r="I14" s="7" t="s">
        <v>102</v>
      </c>
      <c r="J14" s="7" t="s">
        <v>1492</v>
      </c>
      <c r="K14" s="7" t="s">
        <v>1493</v>
      </c>
      <c r="L14" s="7" t="s">
        <v>1494</v>
      </c>
      <c r="M14" s="12" t="s">
        <v>1495</v>
      </c>
      <c r="N14" s="7" t="s">
        <v>1496</v>
      </c>
    </row>
    <row r="15" customFormat="false" ht="23.25" hidden="false" customHeight="true" outlineLevel="0" collapsed="false">
      <c r="A15" s="13" t="n">
        <v>70</v>
      </c>
      <c r="B15" s="7" t="s">
        <v>1497</v>
      </c>
      <c r="C15" s="7" t="s">
        <v>1498</v>
      </c>
      <c r="D15" s="7" t="s">
        <v>1499</v>
      </c>
      <c r="E15" s="14" t="s">
        <v>155</v>
      </c>
      <c r="F15" s="7" t="s">
        <v>136</v>
      </c>
      <c r="G15" s="7" t="s">
        <v>1500</v>
      </c>
      <c r="H15" s="7" t="s">
        <v>102</v>
      </c>
      <c r="I15" s="7" t="s">
        <v>102</v>
      </c>
      <c r="J15" s="7" t="s">
        <v>1501</v>
      </c>
      <c r="K15" s="7" t="s">
        <v>1502</v>
      </c>
      <c r="L15" s="7" t="s">
        <v>1503</v>
      </c>
      <c r="M15" s="12" t="s">
        <v>1504</v>
      </c>
      <c r="N15" s="7" t="s">
        <v>1505</v>
      </c>
    </row>
    <row r="16" customFormat="false" ht="34.5" hidden="false" customHeight="true" outlineLevel="0" collapsed="false">
      <c r="A16" s="13" t="n">
        <v>68</v>
      </c>
      <c r="B16" s="7" t="s">
        <v>1506</v>
      </c>
      <c r="C16" s="7" t="s">
        <v>1507</v>
      </c>
      <c r="D16" s="7" t="s">
        <v>601</v>
      </c>
      <c r="E16" s="14" t="s">
        <v>155</v>
      </c>
      <c r="F16" s="7" t="s">
        <v>136</v>
      </c>
      <c r="G16" s="7" t="s">
        <v>1508</v>
      </c>
      <c r="H16" s="7" t="s">
        <v>1509</v>
      </c>
      <c r="I16" s="7" t="s">
        <v>102</v>
      </c>
      <c r="J16" s="7" t="s">
        <v>1510</v>
      </c>
      <c r="K16" s="7" t="s">
        <v>1511</v>
      </c>
      <c r="L16" s="7" t="s">
        <v>1512</v>
      </c>
      <c r="M16" s="12" t="s">
        <v>1513</v>
      </c>
      <c r="N16" s="7" t="s">
        <v>1514</v>
      </c>
    </row>
    <row r="17" customFormat="false" ht="34.5" hidden="false" customHeight="true" outlineLevel="0" collapsed="false">
      <c r="A17" s="13" t="n">
        <v>68</v>
      </c>
      <c r="B17" s="7" t="s">
        <v>1515</v>
      </c>
      <c r="C17" s="7" t="s">
        <v>1453</v>
      </c>
      <c r="D17" s="7" t="s">
        <v>172</v>
      </c>
      <c r="E17" s="14" t="s">
        <v>155</v>
      </c>
      <c r="F17" s="7" t="s">
        <v>173</v>
      </c>
      <c r="G17" s="7" t="s">
        <v>173</v>
      </c>
      <c r="H17" s="7" t="s">
        <v>173</v>
      </c>
      <c r="I17" s="7" t="s">
        <v>174</v>
      </c>
      <c r="J17" s="7" t="s">
        <v>1454</v>
      </c>
      <c r="K17" s="7" t="s">
        <v>172</v>
      </c>
      <c r="L17" s="7" t="s">
        <v>172</v>
      </c>
      <c r="M17" s="12" t="s">
        <v>1516</v>
      </c>
      <c r="N17" s="7" t="s">
        <v>176</v>
      </c>
    </row>
    <row r="18" customFormat="false" ht="23.25" hidden="false" customHeight="true" outlineLevel="0" collapsed="false">
      <c r="A18" s="10" t="n">
        <v>67</v>
      </c>
      <c r="B18" s="7" t="s">
        <v>1517</v>
      </c>
      <c r="C18" s="7" t="s">
        <v>1052</v>
      </c>
      <c r="D18" s="7" t="s">
        <v>172</v>
      </c>
      <c r="E18" s="11" t="s">
        <v>72</v>
      </c>
      <c r="F18" s="7" t="s">
        <v>173</v>
      </c>
      <c r="G18" s="7" t="s">
        <v>173</v>
      </c>
      <c r="H18" s="7" t="s">
        <v>173</v>
      </c>
      <c r="I18" s="7" t="s">
        <v>174</v>
      </c>
      <c r="J18" s="7" t="s">
        <v>1454</v>
      </c>
      <c r="K18" s="7" t="s">
        <v>172</v>
      </c>
      <c r="L18" s="7" t="s">
        <v>172</v>
      </c>
      <c r="M18" s="12" t="s">
        <v>1518</v>
      </c>
      <c r="N18" s="7" t="s">
        <v>176</v>
      </c>
    </row>
    <row r="19" customFormat="false" ht="45.75" hidden="false" customHeight="true" outlineLevel="0" collapsed="false">
      <c r="A19" s="13" t="n">
        <v>66</v>
      </c>
      <c r="B19" s="7" t="s">
        <v>1519</v>
      </c>
      <c r="C19" s="7" t="s">
        <v>1520</v>
      </c>
      <c r="D19" s="7" t="s">
        <v>172</v>
      </c>
      <c r="E19" s="14" t="s">
        <v>155</v>
      </c>
      <c r="F19" s="7" t="s">
        <v>173</v>
      </c>
      <c r="G19" s="7" t="s">
        <v>173</v>
      </c>
      <c r="H19" s="7" t="s">
        <v>173</v>
      </c>
      <c r="I19" s="7" t="s">
        <v>174</v>
      </c>
      <c r="J19" s="7" t="s">
        <v>1454</v>
      </c>
      <c r="K19" s="7" t="s">
        <v>172</v>
      </c>
      <c r="L19" s="7" t="s">
        <v>172</v>
      </c>
      <c r="M19" s="12" t="s">
        <v>1521</v>
      </c>
      <c r="N19" s="7" t="s">
        <v>176</v>
      </c>
    </row>
    <row r="20" customFormat="false" ht="34.5" hidden="false" customHeight="true" outlineLevel="0" collapsed="false">
      <c r="A20" s="13" t="n">
        <v>65</v>
      </c>
      <c r="B20" s="7" t="s">
        <v>1522</v>
      </c>
      <c r="C20" s="7" t="s">
        <v>1523</v>
      </c>
      <c r="D20" s="7" t="s">
        <v>1524</v>
      </c>
      <c r="E20" s="14" t="s">
        <v>155</v>
      </c>
      <c r="F20" s="7" t="s">
        <v>136</v>
      </c>
      <c r="G20" s="7" t="s">
        <v>1525</v>
      </c>
      <c r="H20" s="7" t="s">
        <v>102</v>
      </c>
      <c r="I20" s="7" t="s">
        <v>1526</v>
      </c>
      <c r="J20" s="7" t="s">
        <v>1527</v>
      </c>
      <c r="K20" s="7" t="s">
        <v>1528</v>
      </c>
      <c r="L20" s="7" t="s">
        <v>1529</v>
      </c>
      <c r="M20" s="12" t="s">
        <v>1530</v>
      </c>
      <c r="N20" s="7" t="s">
        <v>1531</v>
      </c>
    </row>
    <row r="21" customFormat="false" ht="23.25" hidden="false" customHeight="true" outlineLevel="0" collapsed="false">
      <c r="A21" s="13" t="n">
        <v>65</v>
      </c>
      <c r="B21" s="7" t="s">
        <v>1519</v>
      </c>
      <c r="C21" s="7" t="s">
        <v>1532</v>
      </c>
      <c r="D21" s="7" t="s">
        <v>172</v>
      </c>
      <c r="E21" s="14" t="s">
        <v>155</v>
      </c>
      <c r="F21" s="7" t="s">
        <v>173</v>
      </c>
      <c r="G21" s="7" t="s">
        <v>173</v>
      </c>
      <c r="H21" s="7" t="s">
        <v>173</v>
      </c>
      <c r="I21" s="7" t="s">
        <v>174</v>
      </c>
      <c r="J21" s="7" t="s">
        <v>1454</v>
      </c>
      <c r="K21" s="7" t="s">
        <v>172</v>
      </c>
      <c r="L21" s="7" t="s">
        <v>172</v>
      </c>
      <c r="M21" s="12" t="s">
        <v>1533</v>
      </c>
      <c r="N21" s="7" t="s">
        <v>176</v>
      </c>
    </row>
    <row r="22" customFormat="false" ht="34.5" hidden="false" customHeight="true" outlineLevel="0" collapsed="false">
      <c r="A22" s="13" t="n">
        <v>63</v>
      </c>
      <c r="B22" s="7" t="s">
        <v>1534</v>
      </c>
      <c r="C22" s="7" t="s">
        <v>1535</v>
      </c>
      <c r="D22" s="7" t="s">
        <v>172</v>
      </c>
      <c r="E22" s="14" t="s">
        <v>155</v>
      </c>
      <c r="F22" s="7" t="s">
        <v>173</v>
      </c>
      <c r="G22" s="7" t="s">
        <v>173</v>
      </c>
      <c r="H22" s="7" t="s">
        <v>173</v>
      </c>
      <c r="I22" s="7" t="s">
        <v>174</v>
      </c>
      <c r="J22" s="7" t="s">
        <v>1454</v>
      </c>
      <c r="K22" s="7" t="s">
        <v>172</v>
      </c>
      <c r="L22" s="7" t="s">
        <v>172</v>
      </c>
      <c r="M22" s="12" t="s">
        <v>1536</v>
      </c>
      <c r="N22" s="7" t="s">
        <v>176</v>
      </c>
    </row>
    <row r="23" customFormat="false" ht="34.5" hidden="false" customHeight="true" outlineLevel="0" collapsed="false">
      <c r="A23" s="10" t="n">
        <v>60</v>
      </c>
      <c r="B23" s="7" t="s">
        <v>1537</v>
      </c>
      <c r="C23" s="7" t="s">
        <v>1052</v>
      </c>
      <c r="D23" s="7" t="s">
        <v>172</v>
      </c>
      <c r="E23" s="11" t="s">
        <v>72</v>
      </c>
      <c r="F23" s="7" t="s">
        <v>173</v>
      </c>
      <c r="G23" s="7" t="s">
        <v>173</v>
      </c>
      <c r="H23" s="7" t="s">
        <v>173</v>
      </c>
      <c r="I23" s="7" t="s">
        <v>174</v>
      </c>
      <c r="J23" s="7" t="s">
        <v>1454</v>
      </c>
      <c r="K23" s="7" t="s">
        <v>172</v>
      </c>
      <c r="L23" s="7" t="s">
        <v>172</v>
      </c>
      <c r="M23" s="12" t="s">
        <v>1538</v>
      </c>
      <c r="N23" s="7" t="s">
        <v>176</v>
      </c>
    </row>
    <row r="24" customFormat="false" ht="23.25" hidden="false" customHeight="true" outlineLevel="0" collapsed="false">
      <c r="A24" s="13" t="n">
        <v>59</v>
      </c>
      <c r="B24" s="7" t="s">
        <v>1539</v>
      </c>
      <c r="C24" s="7" t="s">
        <v>1540</v>
      </c>
      <c r="D24" s="7" t="s">
        <v>1541</v>
      </c>
      <c r="E24" s="14" t="s">
        <v>155</v>
      </c>
      <c r="F24" s="7" t="s">
        <v>136</v>
      </c>
      <c r="G24" s="7" t="s">
        <v>1542</v>
      </c>
      <c r="H24" s="7" t="s">
        <v>102</v>
      </c>
      <c r="I24" s="7" t="s">
        <v>102</v>
      </c>
      <c r="J24" s="7" t="s">
        <v>1543</v>
      </c>
      <c r="K24" s="7" t="s">
        <v>1544</v>
      </c>
      <c r="L24" s="7" t="s">
        <v>1545</v>
      </c>
      <c r="M24" s="12" t="s">
        <v>1546</v>
      </c>
      <c r="N24" s="7" t="s">
        <v>1547</v>
      </c>
    </row>
    <row r="25" customFormat="false" ht="23.25" hidden="false" customHeight="true" outlineLevel="0" collapsed="false"/>
    <row r="26" customFormat="false" ht="45.75" hidden="false" customHeight="true" outlineLevel="0" collapsed="false"/>
    <row r="27" customFormat="false" ht="23.25" hidden="false" customHeight="true" outlineLevel="0" collapsed="false"/>
    <row r="28" customFormat="false" ht="34.5" hidden="false" customHeight="true" outlineLevel="0" collapsed="false"/>
    <row r="29" customFormat="false" ht="45.75" hidden="false" customHeight="true" outlineLevel="0" collapsed="false"/>
    <row r="30" customFormat="false" ht="34.5" hidden="false" customHeight="true" outlineLevel="0" collapsed="false"/>
    <row r="31" customFormat="false" ht="34.5" hidden="false" customHeight="true" outlineLevel="0" collapsed="false"/>
    <row r="32" customFormat="false" ht="23.25" hidden="false" customHeight="true" outlineLevel="0" collapsed="false"/>
    <row r="33" customFormat="false" ht="23.25" hidden="false" customHeight="true" outlineLevel="0" collapsed="false"/>
    <row r="34" customFormat="false" ht="45.75" hidden="false" customHeight="true" outlineLevel="0" collapsed="false"/>
    <row r="35" customFormat="false" ht="23.25" hidden="false" customHeight="true" outlineLevel="0" collapsed="false"/>
  </sheetData>
  <autoFilter ref="A4:N24"/>
  <hyperlinks>
    <hyperlink ref="M5" r:id="rId1" display="https://join.com/companies/shippypro953/16512307-gtm-engineer"/>
    <hyperlink ref="M7" r:id="rId2" display="https://www.mews.com/en/careers/jobs/4861788101?gh_jid=4861788101"/>
    <hyperlink ref="M8" r:id="rId3" display="https://career.limehome.de/o/product-engineer-mid-level-dfm"/>
    <hyperlink ref="M9" r:id="rId4" display="https://www.mews.com/en/careers/jobs/4852746101?gh_jid=4852746101"/>
    <hyperlink ref="M11" r:id="rId5" display="https://careers.hostaway.com/o/senior-backend-engineer-booking-engine-remote"/>
    <hyperlink ref="M12" r:id="rId6" display="https://career.limehome.de/o/senior-growth-marketing-manager-mfd"/>
    <hyperlink ref="M13" r:id="rId7" display="https://www.arbeitnow.com/jobs/companies/apaleo/growth-marketing-architect-berlin-338944"/>
    <hyperlink ref="M14" r:id="rId8" display="https://careers.bobw.co/jobs/7691081-product-manager-commercial-growth"/>
    <hyperlink ref="M15" r:id="rId9" display="https://www.guesty.com/careers-open-positions/co/barcelona/16.D6E/data-analyst/"/>
    <hyperlink ref="M16" r:id="rId10" display="https://career.limehome.de/o/product-manager-payments-billing-mfd"/>
    <hyperlink ref="M17" r:id="rId11" display="https://www.mews.com/en/careers/jobs/4826070101?gh_jid=4826070101"/>
    <hyperlink ref="M19" r:id="rId12" display="https://hometogo.jobs.personio.de/job/2728178"/>
    <hyperlink ref="M20" r:id="rId13" display="https://startup.jobs/senior-full-stack-engineer-m-f-d-numa-8746112"/>
    <hyperlink ref="M21" r:id="rId14" display="https://hometogo.jobs.personio.de/job/259576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50"/>
    <col collapsed="false" customWidth="true" hidden="false" outlineLevel="0" max="4" min="4" style="1" width="18"/>
    <col collapsed="false" customWidth="true" hidden="false" outlineLevel="0" max="5" min="5" style="1" width="76"/>
    <col collapsed="false" customWidth="true" hidden="false" outlineLevel="0" max="6" min="6" style="1" width="46"/>
    <col collapsed="false" customWidth="true" hidden="false" outlineLevel="0" max="7" min="7" style="1" width="50"/>
  </cols>
  <sheetData>
    <row r="1" customFormat="false" ht="18" hidden="false" customHeight="true" outlineLevel="0" collapsed="false">
      <c r="A1" s="2" t="s">
        <v>1548</v>
      </c>
    </row>
    <row r="2" customFormat="false" ht="15" hidden="false" customHeight="true" outlineLevel="0" collapsed="false">
      <c r="A2" s="3" t="s">
        <v>1549</v>
      </c>
    </row>
    <row r="4" customFormat="false" ht="30" hidden="false" customHeight="true" outlineLevel="0" collapsed="false">
      <c r="A4" s="4" t="s">
        <v>1550</v>
      </c>
      <c r="B4" s="4" t="s">
        <v>58</v>
      </c>
      <c r="C4" s="4" t="s">
        <v>57</v>
      </c>
      <c r="D4" s="4" t="s">
        <v>1551</v>
      </c>
      <c r="E4" s="4" t="s">
        <v>1552</v>
      </c>
      <c r="F4" s="4" t="s">
        <v>1553</v>
      </c>
      <c r="G4" s="4" t="s">
        <v>1554</v>
      </c>
    </row>
    <row r="5" customFormat="false" ht="15" hidden="false" customHeight="true" outlineLevel="0" collapsed="false">
      <c r="A5" s="17" t="n">
        <v>1</v>
      </c>
      <c r="B5" s="7" t="s">
        <v>1555</v>
      </c>
      <c r="C5" s="7" t="s">
        <v>1556</v>
      </c>
      <c r="D5" s="7" t="s">
        <v>1557</v>
      </c>
      <c r="E5" s="7" t="s">
        <v>1558</v>
      </c>
      <c r="F5" s="7" t="s">
        <v>1559</v>
      </c>
      <c r="G5" s="12" t="s">
        <v>1560</v>
      </c>
    </row>
    <row r="6" customFormat="false" ht="15" hidden="false" customHeight="true" outlineLevel="0" collapsed="false">
      <c r="A6" s="17" t="n">
        <v>2</v>
      </c>
      <c r="B6" s="7" t="s">
        <v>1561</v>
      </c>
      <c r="C6" s="7" t="s">
        <v>289</v>
      </c>
      <c r="D6" s="7" t="s">
        <v>1557</v>
      </c>
      <c r="E6" s="7" t="s">
        <v>1558</v>
      </c>
      <c r="F6" s="7" t="s">
        <v>1559</v>
      </c>
      <c r="G6" s="12" t="s">
        <v>1562</v>
      </c>
    </row>
    <row r="7" customFormat="false" ht="15" hidden="false" customHeight="true" outlineLevel="0" collapsed="false">
      <c r="A7" s="17" t="n">
        <v>3</v>
      </c>
      <c r="B7" s="7" t="s">
        <v>1563</v>
      </c>
      <c r="C7" s="7" t="s">
        <v>1564</v>
      </c>
      <c r="D7" s="7" t="s">
        <v>1557</v>
      </c>
      <c r="E7" s="7" t="s">
        <v>1558</v>
      </c>
      <c r="F7" s="7" t="s">
        <v>1559</v>
      </c>
      <c r="G7" s="12" t="s">
        <v>1565</v>
      </c>
    </row>
    <row r="8" customFormat="false" ht="15" hidden="false" customHeight="true" outlineLevel="0" collapsed="false">
      <c r="A8" s="17" t="n">
        <v>4</v>
      </c>
      <c r="B8" s="7" t="s">
        <v>1566</v>
      </c>
      <c r="C8" s="7" t="s">
        <v>1567</v>
      </c>
      <c r="D8" s="7" t="s">
        <v>1568</v>
      </c>
      <c r="E8" s="7" t="s">
        <v>1569</v>
      </c>
      <c r="F8" s="7" t="s">
        <v>1570</v>
      </c>
      <c r="G8" s="12" t="s">
        <v>1571</v>
      </c>
    </row>
    <row r="9" customFormat="false" ht="15" hidden="false" customHeight="true" outlineLevel="0" collapsed="false">
      <c r="A9" s="17" t="n">
        <v>5</v>
      </c>
      <c r="B9" s="7" t="s">
        <v>1572</v>
      </c>
      <c r="C9" s="7" t="s">
        <v>1573</v>
      </c>
      <c r="D9" s="7" t="s">
        <v>1568</v>
      </c>
      <c r="E9" s="7" t="s">
        <v>1574</v>
      </c>
      <c r="F9" s="7" t="s">
        <v>1570</v>
      </c>
      <c r="G9" s="12" t="s">
        <v>1575</v>
      </c>
    </row>
    <row r="10" customFormat="false" ht="15" hidden="false" customHeight="true" outlineLevel="0" collapsed="false">
      <c r="A10" s="17" t="n">
        <v>6</v>
      </c>
      <c r="B10" s="7" t="s">
        <v>1572</v>
      </c>
      <c r="C10" s="7" t="s">
        <v>1576</v>
      </c>
      <c r="D10" s="7" t="s">
        <v>1568</v>
      </c>
      <c r="E10" s="7" t="s">
        <v>1574</v>
      </c>
      <c r="F10" s="7" t="s">
        <v>1570</v>
      </c>
      <c r="G10" s="12" t="s">
        <v>1577</v>
      </c>
    </row>
    <row r="11" customFormat="false" ht="15" hidden="false" customHeight="true" outlineLevel="0" collapsed="false">
      <c r="A11" s="17" t="n">
        <v>7</v>
      </c>
      <c r="B11" s="7" t="s">
        <v>1563</v>
      </c>
      <c r="C11" s="7" t="s">
        <v>1578</v>
      </c>
      <c r="D11" s="7" t="s">
        <v>1557</v>
      </c>
      <c r="E11" s="7" t="s">
        <v>1558</v>
      </c>
      <c r="F11" s="7" t="s">
        <v>1559</v>
      </c>
      <c r="G11" s="12" t="s">
        <v>1579</v>
      </c>
    </row>
    <row r="12" customFormat="false" ht="15" hidden="false" customHeight="true" outlineLevel="0" collapsed="false">
      <c r="A12" s="17" t="n">
        <v>8</v>
      </c>
      <c r="B12" s="7" t="s">
        <v>1580</v>
      </c>
      <c r="C12" s="7" t="s">
        <v>1581</v>
      </c>
      <c r="D12" s="7" t="s">
        <v>1568</v>
      </c>
      <c r="E12" s="7" t="s">
        <v>1574</v>
      </c>
      <c r="F12" s="7" t="s">
        <v>1570</v>
      </c>
      <c r="G12" s="12" t="s">
        <v>1582</v>
      </c>
    </row>
    <row r="13" customFormat="false" ht="23.25" hidden="false" customHeight="true" outlineLevel="0" collapsed="false">
      <c r="A13" s="17" t="n">
        <v>9</v>
      </c>
      <c r="B13" s="7" t="s">
        <v>1583</v>
      </c>
      <c r="C13" s="7" t="s">
        <v>1584</v>
      </c>
      <c r="D13" s="7" t="s">
        <v>1568</v>
      </c>
      <c r="E13" s="7" t="s">
        <v>1574</v>
      </c>
      <c r="F13" s="7" t="s">
        <v>1585</v>
      </c>
      <c r="G13" s="12" t="s">
        <v>1586</v>
      </c>
    </row>
    <row r="14" customFormat="false" ht="15" hidden="false" customHeight="true" outlineLevel="0" collapsed="false">
      <c r="A14" s="17" t="n">
        <v>10</v>
      </c>
      <c r="B14" s="7" t="s">
        <v>1587</v>
      </c>
      <c r="C14" s="7" t="s">
        <v>1588</v>
      </c>
      <c r="D14" s="7" t="s">
        <v>1568</v>
      </c>
      <c r="E14" s="7" t="s">
        <v>1574</v>
      </c>
      <c r="F14" s="7" t="s">
        <v>1570</v>
      </c>
      <c r="G14" s="12" t="s">
        <v>1589</v>
      </c>
    </row>
    <row r="15" customFormat="false" ht="15" hidden="false" customHeight="true" outlineLevel="0" collapsed="false">
      <c r="A15" s="17" t="n">
        <v>11</v>
      </c>
      <c r="B15" s="7" t="s">
        <v>1590</v>
      </c>
      <c r="C15" s="7" t="s">
        <v>1591</v>
      </c>
      <c r="D15" s="7" t="s">
        <v>1568</v>
      </c>
      <c r="E15" s="7" t="s">
        <v>1592</v>
      </c>
      <c r="F15" s="7" t="s">
        <v>1570</v>
      </c>
      <c r="G15" s="12" t="s">
        <v>1593</v>
      </c>
    </row>
    <row r="16" customFormat="false" ht="15" hidden="false" customHeight="true" outlineLevel="0" collapsed="false">
      <c r="A16" s="17" t="n">
        <v>12</v>
      </c>
      <c r="B16" s="7" t="s">
        <v>1594</v>
      </c>
      <c r="C16" s="7" t="s">
        <v>1595</v>
      </c>
      <c r="D16" s="7" t="s">
        <v>1568</v>
      </c>
      <c r="E16" s="7" t="s">
        <v>1596</v>
      </c>
      <c r="F16" s="7" t="s">
        <v>1570</v>
      </c>
      <c r="G16" s="12" t="s">
        <v>1597</v>
      </c>
    </row>
    <row r="17" customFormat="false" ht="15" hidden="false" customHeight="true" outlineLevel="0" collapsed="false">
      <c r="A17" s="17" t="n">
        <v>13</v>
      </c>
      <c r="B17" s="7" t="s">
        <v>1572</v>
      </c>
      <c r="C17" s="7" t="s">
        <v>1598</v>
      </c>
      <c r="D17" s="7" t="s">
        <v>1568</v>
      </c>
      <c r="E17" s="7" t="s">
        <v>1574</v>
      </c>
      <c r="F17" s="7" t="s">
        <v>1570</v>
      </c>
      <c r="G17" s="12" t="s">
        <v>1599</v>
      </c>
    </row>
    <row r="18" customFormat="false" ht="15" hidden="false" customHeight="true" outlineLevel="0" collapsed="false">
      <c r="A18" s="17" t="n">
        <v>14</v>
      </c>
      <c r="B18" s="7" t="s">
        <v>1600</v>
      </c>
      <c r="C18" s="7" t="s">
        <v>1601</v>
      </c>
      <c r="D18" s="7" t="s">
        <v>1568</v>
      </c>
      <c r="E18" s="7" t="s">
        <v>1574</v>
      </c>
      <c r="F18" s="7" t="s">
        <v>1570</v>
      </c>
      <c r="G18" s="12" t="s">
        <v>1602</v>
      </c>
    </row>
    <row r="19" customFormat="false" ht="23.25" hidden="false" customHeight="true" outlineLevel="0" collapsed="false">
      <c r="A19" s="17" t="n">
        <v>15</v>
      </c>
      <c r="B19" s="7" t="s">
        <v>1603</v>
      </c>
      <c r="C19" s="7" t="s">
        <v>1604</v>
      </c>
      <c r="D19" s="7" t="s">
        <v>1557</v>
      </c>
      <c r="E19" s="7" t="s">
        <v>1605</v>
      </c>
      <c r="F19" s="7" t="s">
        <v>1606</v>
      </c>
      <c r="G19" s="12" t="s">
        <v>1607</v>
      </c>
    </row>
    <row r="20" customFormat="false" ht="23.25" hidden="false" customHeight="true" outlineLevel="0" collapsed="false">
      <c r="A20" s="17" t="n">
        <v>16</v>
      </c>
      <c r="B20" s="7" t="s">
        <v>1608</v>
      </c>
      <c r="C20" s="7" t="s">
        <v>1609</v>
      </c>
      <c r="D20" s="7" t="s">
        <v>1568</v>
      </c>
      <c r="E20" s="7" t="s">
        <v>1610</v>
      </c>
      <c r="F20" s="7" t="s">
        <v>1611</v>
      </c>
      <c r="G20" s="12" t="s">
        <v>1612</v>
      </c>
    </row>
    <row r="21" customFormat="false" ht="23.25" hidden="false" customHeight="true" outlineLevel="0" collapsed="false">
      <c r="A21" s="17" t="n">
        <v>17</v>
      </c>
      <c r="B21" s="7" t="s">
        <v>1613</v>
      </c>
      <c r="C21" s="7" t="s">
        <v>1614</v>
      </c>
      <c r="D21" s="7" t="s">
        <v>1568</v>
      </c>
      <c r="E21" s="7" t="s">
        <v>1615</v>
      </c>
      <c r="F21" s="7" t="s">
        <v>1611</v>
      </c>
      <c r="G21" s="12" t="s">
        <v>1616</v>
      </c>
    </row>
    <row r="22" customFormat="false" ht="23.25" hidden="false" customHeight="true" outlineLevel="0" collapsed="false">
      <c r="A22" s="17" t="n">
        <v>18</v>
      </c>
      <c r="B22" s="7" t="s">
        <v>1617</v>
      </c>
      <c r="C22" s="7" t="s">
        <v>1618</v>
      </c>
      <c r="D22" s="7" t="s">
        <v>1568</v>
      </c>
      <c r="E22" s="7" t="s">
        <v>1619</v>
      </c>
      <c r="F22" s="7" t="s">
        <v>1620</v>
      </c>
      <c r="G22" s="12" t="s">
        <v>1621</v>
      </c>
    </row>
    <row r="23" customFormat="false" ht="23.25" hidden="false" customHeight="true" outlineLevel="0" collapsed="false">
      <c r="A23" s="17" t="n">
        <v>19</v>
      </c>
      <c r="B23" s="7" t="s">
        <v>1622</v>
      </c>
      <c r="C23" s="7" t="s">
        <v>1623</v>
      </c>
      <c r="D23" s="7" t="s">
        <v>1568</v>
      </c>
      <c r="E23" s="7" t="s">
        <v>1619</v>
      </c>
      <c r="F23" s="7" t="s">
        <v>1624</v>
      </c>
      <c r="G23" s="12" t="s">
        <v>1625</v>
      </c>
    </row>
    <row r="24" customFormat="false" ht="15" hidden="false" customHeight="true" outlineLevel="0" collapsed="false">
      <c r="A24" s="17" t="n">
        <v>20</v>
      </c>
      <c r="B24" s="7" t="s">
        <v>1626</v>
      </c>
      <c r="C24" s="7" t="s">
        <v>1627</v>
      </c>
      <c r="D24" s="7" t="s">
        <v>1568</v>
      </c>
      <c r="E24" s="7" t="s">
        <v>1628</v>
      </c>
      <c r="F24" s="7" t="s">
        <v>1611</v>
      </c>
      <c r="G24" s="12" t="s">
        <v>1629</v>
      </c>
    </row>
    <row r="25" customFormat="false" ht="15" hidden="false" customHeight="true" outlineLevel="0" collapsed="false">
      <c r="A25" s="17" t="n">
        <v>21</v>
      </c>
      <c r="B25" s="7" t="s">
        <v>1630</v>
      </c>
      <c r="C25" s="7" t="s">
        <v>1631</v>
      </c>
      <c r="D25" s="7" t="s">
        <v>1632</v>
      </c>
      <c r="E25" s="7" t="s">
        <v>1633</v>
      </c>
      <c r="F25" s="7" t="s">
        <v>1611</v>
      </c>
      <c r="G25" s="12" t="s">
        <v>1634</v>
      </c>
    </row>
    <row r="26" customFormat="false" ht="23.25" hidden="false" customHeight="true" outlineLevel="0" collapsed="false">
      <c r="A26" s="17" t="n">
        <v>22</v>
      </c>
      <c r="B26" s="7" t="s">
        <v>1635</v>
      </c>
      <c r="C26" s="7" t="s">
        <v>1636</v>
      </c>
      <c r="D26" s="7" t="s">
        <v>1568</v>
      </c>
      <c r="E26" s="7" t="s">
        <v>1637</v>
      </c>
      <c r="F26" s="7" t="s">
        <v>1611</v>
      </c>
      <c r="G26" s="12" t="s">
        <v>1638</v>
      </c>
    </row>
    <row r="27" customFormat="false" ht="15" hidden="false" customHeight="true" outlineLevel="0" collapsed="false">
      <c r="A27" s="17" t="n">
        <v>23</v>
      </c>
      <c r="B27" s="7" t="s">
        <v>1639</v>
      </c>
      <c r="C27" s="7" t="s">
        <v>1640</v>
      </c>
      <c r="D27" s="7" t="s">
        <v>1641</v>
      </c>
      <c r="E27" s="7" t="s">
        <v>1633</v>
      </c>
      <c r="F27" s="7" t="s">
        <v>1611</v>
      </c>
      <c r="G27" s="12" t="s">
        <v>1642</v>
      </c>
    </row>
    <row r="28" customFormat="false" ht="23.25" hidden="false" customHeight="true" outlineLevel="0" collapsed="false">
      <c r="A28" s="17" t="n">
        <v>24</v>
      </c>
      <c r="B28" s="7" t="s">
        <v>1643</v>
      </c>
      <c r="C28" s="7" t="s">
        <v>1644</v>
      </c>
      <c r="D28" s="7" t="s">
        <v>1568</v>
      </c>
      <c r="E28" s="7" t="s">
        <v>1645</v>
      </c>
      <c r="F28" s="7" t="s">
        <v>1646</v>
      </c>
      <c r="G28" s="12" t="s">
        <v>1647</v>
      </c>
    </row>
    <row r="29" customFormat="false" ht="23.25" hidden="false" customHeight="true" outlineLevel="0" collapsed="false">
      <c r="A29" s="17" t="n">
        <v>25</v>
      </c>
      <c r="B29" s="7" t="s">
        <v>1648</v>
      </c>
      <c r="C29" s="7" t="s">
        <v>1649</v>
      </c>
      <c r="D29" s="7" t="s">
        <v>1568</v>
      </c>
      <c r="E29" s="7" t="s">
        <v>1619</v>
      </c>
      <c r="F29" s="7" t="s">
        <v>1650</v>
      </c>
      <c r="G29" s="12" t="s">
        <v>1651</v>
      </c>
    </row>
    <row r="30" customFormat="false" ht="23.25" hidden="false" customHeight="true" outlineLevel="0" collapsed="false">
      <c r="A30" s="17" t="n">
        <v>26</v>
      </c>
      <c r="B30" s="7" t="s">
        <v>1652</v>
      </c>
      <c r="C30" s="7" t="s">
        <v>1653</v>
      </c>
      <c r="D30" s="7" t="s">
        <v>1568</v>
      </c>
      <c r="E30" s="7" t="s">
        <v>1619</v>
      </c>
      <c r="F30" s="7" t="s">
        <v>1611</v>
      </c>
      <c r="G30" s="12" t="s">
        <v>1654</v>
      </c>
    </row>
    <row r="31" customFormat="false" ht="15" hidden="false" customHeight="true" outlineLevel="0" collapsed="false">
      <c r="A31" s="17" t="n">
        <v>27</v>
      </c>
      <c r="B31" s="7" t="s">
        <v>1655</v>
      </c>
      <c r="C31" s="7" t="s">
        <v>1656</v>
      </c>
      <c r="D31" s="7" t="s">
        <v>1568</v>
      </c>
      <c r="E31" s="7" t="s">
        <v>1657</v>
      </c>
      <c r="F31" s="7" t="s">
        <v>1658</v>
      </c>
      <c r="G31" s="12" t="s">
        <v>1659</v>
      </c>
    </row>
    <row r="32" customFormat="false" ht="23.25" hidden="false" customHeight="true" outlineLevel="0" collapsed="false">
      <c r="A32" s="17" t="n">
        <v>28</v>
      </c>
      <c r="B32" s="7" t="s">
        <v>1660</v>
      </c>
      <c r="C32" s="7" t="s">
        <v>1661</v>
      </c>
      <c r="D32" s="7" t="s">
        <v>1568</v>
      </c>
      <c r="E32" s="7" t="s">
        <v>1662</v>
      </c>
      <c r="F32" s="7" t="s">
        <v>1663</v>
      </c>
      <c r="G32" s="12" t="s">
        <v>1664</v>
      </c>
    </row>
    <row r="33" customFormat="false" ht="15" hidden="false" customHeight="true" outlineLevel="0" collapsed="false">
      <c r="A33" s="17" t="n">
        <v>29</v>
      </c>
      <c r="B33" s="7" t="s">
        <v>1665</v>
      </c>
      <c r="C33" s="7" t="s">
        <v>1666</v>
      </c>
      <c r="D33" s="7" t="s">
        <v>1568</v>
      </c>
      <c r="E33" s="7" t="s">
        <v>1667</v>
      </c>
      <c r="F33" s="7" t="s">
        <v>1611</v>
      </c>
      <c r="G33" s="12" t="s">
        <v>1668</v>
      </c>
    </row>
    <row r="34" customFormat="false" ht="23.25" hidden="false" customHeight="true" outlineLevel="0" collapsed="false">
      <c r="A34" s="17" t="n">
        <v>30</v>
      </c>
      <c r="B34" s="7" t="s">
        <v>1669</v>
      </c>
      <c r="C34" s="7" t="s">
        <v>1670</v>
      </c>
      <c r="D34" s="7" t="s">
        <v>1671</v>
      </c>
      <c r="E34" s="7" t="s">
        <v>1672</v>
      </c>
      <c r="F34" s="7" t="s">
        <v>1673</v>
      </c>
      <c r="G34" s="12" t="s">
        <v>1674</v>
      </c>
    </row>
    <row r="35" customFormat="false" ht="23.25" hidden="false" customHeight="true" outlineLevel="0" collapsed="false">
      <c r="A35" s="17" t="n">
        <v>31</v>
      </c>
      <c r="B35" s="7" t="s">
        <v>1675</v>
      </c>
      <c r="C35" s="7" t="s">
        <v>1182</v>
      </c>
      <c r="D35" s="7" t="s">
        <v>1557</v>
      </c>
      <c r="E35" s="7" t="s">
        <v>1676</v>
      </c>
      <c r="F35" s="7" t="s">
        <v>1677</v>
      </c>
      <c r="G35" s="12" t="s">
        <v>1678</v>
      </c>
    </row>
    <row r="36" customFormat="false" ht="23.25" hidden="false" customHeight="true" outlineLevel="0" collapsed="false">
      <c r="A36" s="17" t="n">
        <v>32</v>
      </c>
      <c r="B36" s="7" t="s">
        <v>1679</v>
      </c>
      <c r="C36" s="7" t="s">
        <v>133</v>
      </c>
      <c r="D36" s="7" t="s">
        <v>1680</v>
      </c>
      <c r="E36" s="7" t="s">
        <v>1681</v>
      </c>
      <c r="F36" s="7" t="s">
        <v>1682</v>
      </c>
      <c r="G36" s="12" t="s">
        <v>1683</v>
      </c>
    </row>
    <row r="37" customFormat="false" ht="23.25" hidden="false" customHeight="true" outlineLevel="0" collapsed="false">
      <c r="A37" s="17" t="n">
        <v>33</v>
      </c>
      <c r="B37" s="7" t="s">
        <v>1684</v>
      </c>
      <c r="C37" s="7" t="s">
        <v>1685</v>
      </c>
      <c r="D37" s="7" t="s">
        <v>1557</v>
      </c>
      <c r="E37" s="7" t="s">
        <v>1686</v>
      </c>
      <c r="F37" s="7" t="s">
        <v>1687</v>
      </c>
      <c r="G37" s="12" t="s">
        <v>1688</v>
      </c>
    </row>
    <row r="38" customFormat="false" ht="23.25" hidden="false" customHeight="true" outlineLevel="0" collapsed="false">
      <c r="A38" s="17" t="n">
        <v>34</v>
      </c>
      <c r="B38" s="7" t="s">
        <v>1689</v>
      </c>
      <c r="C38" s="7" t="s">
        <v>1690</v>
      </c>
      <c r="D38" s="7" t="s">
        <v>1632</v>
      </c>
      <c r="E38" s="7" t="s">
        <v>1633</v>
      </c>
      <c r="F38" s="7" t="s">
        <v>1691</v>
      </c>
      <c r="G38" s="12" t="s">
        <v>1692</v>
      </c>
    </row>
    <row r="39" customFormat="false" ht="23.25" hidden="false" customHeight="true" outlineLevel="0" collapsed="false">
      <c r="A39" s="17" t="n">
        <v>35</v>
      </c>
      <c r="B39" s="7" t="s">
        <v>1689</v>
      </c>
      <c r="C39" s="7" t="s">
        <v>1693</v>
      </c>
      <c r="D39" s="7" t="s">
        <v>1632</v>
      </c>
      <c r="E39" s="7" t="s">
        <v>1633</v>
      </c>
      <c r="F39" s="7" t="s">
        <v>1694</v>
      </c>
      <c r="G39" s="12" t="s">
        <v>1695</v>
      </c>
    </row>
    <row r="40" customFormat="false" ht="23.25" hidden="false" customHeight="true" outlineLevel="0" collapsed="false">
      <c r="A40" s="17" t="n">
        <v>36</v>
      </c>
      <c r="B40" s="7" t="s">
        <v>1689</v>
      </c>
      <c r="C40" s="7" t="s">
        <v>264</v>
      </c>
      <c r="D40" s="7" t="s">
        <v>1632</v>
      </c>
      <c r="E40" s="7" t="s">
        <v>1633</v>
      </c>
      <c r="F40" s="7" t="s">
        <v>1696</v>
      </c>
      <c r="G40" s="12" t="s">
        <v>1697</v>
      </c>
    </row>
    <row r="41" customFormat="false" ht="23.25" hidden="false" customHeight="true" outlineLevel="0" collapsed="false">
      <c r="A41" s="17" t="n">
        <v>37</v>
      </c>
      <c r="B41" s="7" t="s">
        <v>1689</v>
      </c>
      <c r="C41" s="7" t="s">
        <v>1698</v>
      </c>
      <c r="D41" s="7" t="s">
        <v>1632</v>
      </c>
      <c r="E41" s="7" t="s">
        <v>1633</v>
      </c>
      <c r="F41" s="7" t="s">
        <v>1699</v>
      </c>
      <c r="G41" s="12" t="s">
        <v>1700</v>
      </c>
    </row>
    <row r="42" customFormat="false" ht="23.25" hidden="false" customHeight="true" outlineLevel="0" collapsed="false">
      <c r="A42" s="17" t="n">
        <v>38</v>
      </c>
      <c r="B42" s="7" t="s">
        <v>1689</v>
      </c>
      <c r="C42" s="7" t="s">
        <v>1701</v>
      </c>
      <c r="D42" s="7" t="s">
        <v>1632</v>
      </c>
      <c r="E42" s="7" t="s">
        <v>1633</v>
      </c>
      <c r="F42" s="7" t="s">
        <v>1702</v>
      </c>
      <c r="G42" s="12" t="s">
        <v>1703</v>
      </c>
    </row>
    <row r="43" customFormat="false" ht="23.25" hidden="false" customHeight="true" outlineLevel="0" collapsed="false">
      <c r="A43" s="17" t="n">
        <v>39</v>
      </c>
      <c r="B43" s="7" t="s">
        <v>1689</v>
      </c>
      <c r="C43" s="7" t="s">
        <v>1704</v>
      </c>
      <c r="D43" s="7" t="s">
        <v>1632</v>
      </c>
      <c r="E43" s="7" t="s">
        <v>1633</v>
      </c>
      <c r="F43" s="7" t="s">
        <v>1705</v>
      </c>
      <c r="G43" s="12" t="s">
        <v>1706</v>
      </c>
    </row>
    <row r="44" customFormat="false" ht="23.25" hidden="false" customHeight="true" outlineLevel="0" collapsed="false">
      <c r="A44" s="17" t="n">
        <v>40</v>
      </c>
      <c r="B44" s="7" t="s">
        <v>1707</v>
      </c>
      <c r="C44" s="7" t="s">
        <v>1708</v>
      </c>
      <c r="D44" s="7" t="s">
        <v>1632</v>
      </c>
      <c r="E44" s="7" t="s">
        <v>1633</v>
      </c>
      <c r="F44" s="7" t="s">
        <v>1611</v>
      </c>
      <c r="G44" s="12" t="s">
        <v>1709</v>
      </c>
    </row>
    <row r="45" customFormat="false" ht="23.25" hidden="false" customHeight="true" outlineLevel="0" collapsed="false">
      <c r="A45" s="17" t="n">
        <v>41</v>
      </c>
      <c r="B45" s="7" t="s">
        <v>1710</v>
      </c>
      <c r="C45" s="7" t="s">
        <v>1711</v>
      </c>
      <c r="D45" s="7" t="s">
        <v>1557</v>
      </c>
      <c r="E45" s="7" t="s">
        <v>1712</v>
      </c>
      <c r="F45" s="7" t="s">
        <v>1713</v>
      </c>
      <c r="G45" s="12" t="s">
        <v>1714</v>
      </c>
    </row>
    <row r="46" customFormat="false" ht="23.25" hidden="false" customHeight="true" outlineLevel="0" collapsed="false">
      <c r="A46" s="17" t="n">
        <v>42</v>
      </c>
      <c r="B46" s="7" t="s">
        <v>1715</v>
      </c>
      <c r="C46" s="7" t="s">
        <v>1716</v>
      </c>
      <c r="D46" s="7" t="s">
        <v>1557</v>
      </c>
      <c r="E46" s="7" t="s">
        <v>1717</v>
      </c>
      <c r="F46" s="7" t="s">
        <v>1718</v>
      </c>
      <c r="G46" s="12" t="s">
        <v>1719</v>
      </c>
    </row>
    <row r="47" customFormat="false" ht="23.25" hidden="false" customHeight="true" outlineLevel="0" collapsed="false">
      <c r="A47" s="17" t="n">
        <v>43</v>
      </c>
      <c r="B47" s="7" t="s">
        <v>1689</v>
      </c>
      <c r="C47" s="7" t="s">
        <v>1720</v>
      </c>
      <c r="D47" s="7" t="s">
        <v>1632</v>
      </c>
      <c r="E47" s="7" t="s">
        <v>1633</v>
      </c>
      <c r="F47" s="7" t="s">
        <v>1721</v>
      </c>
      <c r="G47" s="12" t="s">
        <v>1722</v>
      </c>
    </row>
    <row r="48" customFormat="false" ht="23.25" hidden="false" customHeight="true" outlineLevel="0" collapsed="false">
      <c r="A48" s="17" t="n">
        <v>44</v>
      </c>
      <c r="B48" s="7" t="s">
        <v>1723</v>
      </c>
      <c r="C48" s="7" t="s">
        <v>1724</v>
      </c>
      <c r="D48" s="7" t="s">
        <v>1557</v>
      </c>
      <c r="E48" s="7" t="s">
        <v>1725</v>
      </c>
      <c r="F48" s="7" t="s">
        <v>1726</v>
      </c>
      <c r="G48" s="12" t="s">
        <v>1727</v>
      </c>
    </row>
    <row r="49" customFormat="false" ht="23.25" hidden="false" customHeight="true" outlineLevel="0" collapsed="false">
      <c r="A49" s="17" t="n">
        <v>45</v>
      </c>
      <c r="B49" s="7" t="s">
        <v>1728</v>
      </c>
      <c r="C49" s="7" t="s">
        <v>1729</v>
      </c>
      <c r="D49" s="7" t="s">
        <v>1632</v>
      </c>
      <c r="E49" s="7" t="s">
        <v>1633</v>
      </c>
      <c r="F49" s="7" t="s">
        <v>1730</v>
      </c>
      <c r="G49" s="12" t="s">
        <v>1731</v>
      </c>
    </row>
    <row r="50" customFormat="false" ht="23.25" hidden="false" customHeight="true" outlineLevel="0" collapsed="false">
      <c r="A50" s="17" t="n">
        <v>46</v>
      </c>
      <c r="B50" s="7" t="s">
        <v>1689</v>
      </c>
      <c r="C50" s="7" t="s">
        <v>1732</v>
      </c>
      <c r="D50" s="7" t="s">
        <v>1632</v>
      </c>
      <c r="E50" s="7" t="s">
        <v>1633</v>
      </c>
      <c r="F50" s="7" t="s">
        <v>1733</v>
      </c>
      <c r="G50" s="12" t="s">
        <v>1734</v>
      </c>
    </row>
    <row r="51" customFormat="false" ht="23.25" hidden="false" customHeight="true" outlineLevel="0" collapsed="false">
      <c r="A51" s="17" t="n">
        <v>47</v>
      </c>
      <c r="B51" s="7" t="s">
        <v>1689</v>
      </c>
      <c r="C51" s="7" t="s">
        <v>1735</v>
      </c>
      <c r="D51" s="7" t="s">
        <v>1632</v>
      </c>
      <c r="E51" s="7" t="s">
        <v>1633</v>
      </c>
      <c r="F51" s="7" t="s">
        <v>1736</v>
      </c>
      <c r="G51" s="12" t="s">
        <v>1737</v>
      </c>
    </row>
    <row r="52" customFormat="false" ht="23.25" hidden="false" customHeight="true" outlineLevel="0" collapsed="false">
      <c r="A52" s="17" t="n">
        <v>48</v>
      </c>
      <c r="B52" s="7" t="s">
        <v>1738</v>
      </c>
      <c r="C52" s="7" t="s">
        <v>1739</v>
      </c>
      <c r="D52" s="7" t="s">
        <v>1740</v>
      </c>
      <c r="E52" s="7" t="s">
        <v>1633</v>
      </c>
      <c r="F52" s="7" t="s">
        <v>1741</v>
      </c>
      <c r="G52" s="12" t="s">
        <v>1742</v>
      </c>
    </row>
    <row r="53" customFormat="false" ht="23.25" hidden="false" customHeight="true" outlineLevel="0" collapsed="false">
      <c r="A53" s="17" t="n">
        <v>49</v>
      </c>
      <c r="B53" s="7" t="s">
        <v>1689</v>
      </c>
      <c r="C53" s="7" t="s">
        <v>1743</v>
      </c>
      <c r="D53" s="7" t="s">
        <v>1632</v>
      </c>
      <c r="E53" s="7" t="s">
        <v>1633</v>
      </c>
      <c r="F53" s="7" t="s">
        <v>1736</v>
      </c>
      <c r="G53" s="12" t="s">
        <v>1744</v>
      </c>
    </row>
    <row r="54" customFormat="false" ht="23.25" hidden="false" customHeight="true" outlineLevel="0" collapsed="false">
      <c r="A54" s="17" t="n">
        <v>50</v>
      </c>
      <c r="B54" s="7" t="s">
        <v>1745</v>
      </c>
      <c r="C54" s="7" t="s">
        <v>1746</v>
      </c>
      <c r="D54" s="7" t="s">
        <v>1632</v>
      </c>
      <c r="E54" s="7" t="s">
        <v>1633</v>
      </c>
      <c r="F54" s="7" t="s">
        <v>1747</v>
      </c>
      <c r="G54" s="12" t="s">
        <v>1748</v>
      </c>
    </row>
    <row r="55" customFormat="false" ht="23.25" hidden="false" customHeight="true" outlineLevel="0" collapsed="false">
      <c r="A55" s="17" t="n">
        <v>51</v>
      </c>
      <c r="B55" s="7" t="s">
        <v>1749</v>
      </c>
      <c r="C55" s="7" t="s">
        <v>1750</v>
      </c>
      <c r="D55" s="7" t="s">
        <v>1568</v>
      </c>
      <c r="E55" s="7" t="s">
        <v>1751</v>
      </c>
      <c r="F55" s="7" t="s">
        <v>1752</v>
      </c>
      <c r="G55" s="12" t="s">
        <v>1753</v>
      </c>
    </row>
    <row r="56" customFormat="false" ht="23.25" hidden="false" customHeight="true" outlineLevel="0" collapsed="false">
      <c r="A56" s="17" t="n">
        <v>52</v>
      </c>
      <c r="B56" s="7" t="s">
        <v>1754</v>
      </c>
      <c r="C56" s="7" t="s">
        <v>1755</v>
      </c>
      <c r="D56" s="7" t="s">
        <v>1680</v>
      </c>
      <c r="E56" s="7" t="s">
        <v>1756</v>
      </c>
      <c r="F56" s="7" t="s">
        <v>1757</v>
      </c>
      <c r="G56" s="12" t="s">
        <v>1758</v>
      </c>
    </row>
    <row r="57" customFormat="false" ht="79.5" hidden="false" customHeight="true" outlineLevel="0" collapsed="false">
      <c r="A57" s="17" t="n">
        <v>53</v>
      </c>
      <c r="B57" s="7" t="s">
        <v>1759</v>
      </c>
      <c r="C57" s="7" t="s">
        <v>1760</v>
      </c>
      <c r="D57" s="7" t="s">
        <v>1568</v>
      </c>
      <c r="E57" s="7" t="s">
        <v>1761</v>
      </c>
      <c r="F57" s="7" t="s">
        <v>1762</v>
      </c>
      <c r="G57" s="12" t="s">
        <v>1763</v>
      </c>
    </row>
    <row r="58" customFormat="false" ht="23.25" hidden="false" customHeight="true" outlineLevel="0" collapsed="false">
      <c r="A58" s="17" t="n">
        <v>54</v>
      </c>
      <c r="B58" s="7" t="s">
        <v>1764</v>
      </c>
      <c r="C58" s="7" t="s">
        <v>1765</v>
      </c>
      <c r="D58" s="7" t="s">
        <v>1568</v>
      </c>
      <c r="E58" s="7" t="s">
        <v>1751</v>
      </c>
      <c r="F58" s="7" t="s">
        <v>1766</v>
      </c>
      <c r="G58" s="12" t="s">
        <v>1767</v>
      </c>
    </row>
    <row r="59" customFormat="false" ht="57" hidden="false" customHeight="true" outlineLevel="0" collapsed="false">
      <c r="A59" s="17" t="n">
        <v>55</v>
      </c>
      <c r="B59" s="7" t="s">
        <v>1768</v>
      </c>
      <c r="C59" s="7" t="s">
        <v>1769</v>
      </c>
      <c r="D59" s="7" t="s">
        <v>1568</v>
      </c>
      <c r="E59" s="7" t="s">
        <v>1751</v>
      </c>
      <c r="F59" s="7" t="s">
        <v>1770</v>
      </c>
      <c r="G59" s="12" t="s">
        <v>1771</v>
      </c>
    </row>
    <row r="60" customFormat="false" ht="57" hidden="false" customHeight="true" outlineLevel="0" collapsed="false">
      <c r="A60" s="17" t="n">
        <v>56</v>
      </c>
      <c r="B60" s="7" t="s">
        <v>1772</v>
      </c>
      <c r="C60" s="7" t="s">
        <v>1773</v>
      </c>
      <c r="D60" s="7" t="s">
        <v>1568</v>
      </c>
      <c r="E60" s="7" t="s">
        <v>1751</v>
      </c>
      <c r="F60" s="7" t="s">
        <v>1774</v>
      </c>
      <c r="G60" s="12" t="s">
        <v>1775</v>
      </c>
    </row>
    <row r="61" customFormat="false" ht="23.25" hidden="false" customHeight="true" outlineLevel="0" collapsed="false">
      <c r="A61" s="17" t="n">
        <v>57</v>
      </c>
      <c r="B61" s="7" t="s">
        <v>1776</v>
      </c>
      <c r="C61" s="7" t="s">
        <v>1777</v>
      </c>
      <c r="D61" s="7" t="s">
        <v>1568</v>
      </c>
      <c r="E61" s="7" t="s">
        <v>1778</v>
      </c>
      <c r="F61" s="7" t="s">
        <v>1779</v>
      </c>
      <c r="G61" s="12" t="s">
        <v>1780</v>
      </c>
    </row>
    <row r="62" customFormat="false" ht="57" hidden="false" customHeight="true" outlineLevel="0" collapsed="false">
      <c r="A62" s="17" t="n">
        <v>58</v>
      </c>
      <c r="B62" s="7" t="s">
        <v>1781</v>
      </c>
      <c r="C62" s="7" t="s">
        <v>1782</v>
      </c>
      <c r="D62" s="7" t="s">
        <v>1568</v>
      </c>
      <c r="E62" s="7" t="s">
        <v>1783</v>
      </c>
      <c r="F62" s="7" t="s">
        <v>1784</v>
      </c>
      <c r="G62" s="12" t="s">
        <v>1785</v>
      </c>
    </row>
    <row r="63" customFormat="false" ht="45.75" hidden="false" customHeight="true" outlineLevel="0" collapsed="false">
      <c r="A63" s="17" t="n">
        <v>59</v>
      </c>
      <c r="B63" s="7" t="s">
        <v>1786</v>
      </c>
      <c r="C63" s="7" t="s">
        <v>1787</v>
      </c>
      <c r="D63" s="7" t="s">
        <v>1568</v>
      </c>
      <c r="E63" s="7" t="s">
        <v>1751</v>
      </c>
      <c r="F63" s="7" t="s">
        <v>1788</v>
      </c>
      <c r="G63" s="12" t="s">
        <v>1789</v>
      </c>
    </row>
    <row r="64" customFormat="false" ht="45.75" hidden="false" customHeight="true" outlineLevel="0" collapsed="false">
      <c r="A64" s="17" t="n">
        <v>60</v>
      </c>
      <c r="B64" s="7" t="s">
        <v>1790</v>
      </c>
      <c r="C64" s="7" t="s">
        <v>1791</v>
      </c>
      <c r="D64" s="7" t="s">
        <v>1568</v>
      </c>
      <c r="E64" s="7" t="s">
        <v>1751</v>
      </c>
      <c r="F64" s="7" t="s">
        <v>1792</v>
      </c>
      <c r="G64" s="12" t="s">
        <v>1793</v>
      </c>
    </row>
    <row r="65" customFormat="false" ht="45.75" hidden="false" customHeight="true" outlineLevel="0" collapsed="false">
      <c r="A65" s="17" t="n">
        <v>61</v>
      </c>
      <c r="B65" s="7" t="s">
        <v>1794</v>
      </c>
      <c r="C65" s="7" t="s">
        <v>1795</v>
      </c>
      <c r="D65" s="7" t="s">
        <v>1568</v>
      </c>
      <c r="E65" s="7" t="s">
        <v>1796</v>
      </c>
      <c r="F65" s="7" t="s">
        <v>1797</v>
      </c>
      <c r="G65" s="12" t="s">
        <v>1798</v>
      </c>
    </row>
    <row r="66" customFormat="false" ht="45.75" hidden="false" customHeight="true" outlineLevel="0" collapsed="false">
      <c r="A66" s="17" t="n">
        <v>62</v>
      </c>
      <c r="B66" s="7" t="s">
        <v>1799</v>
      </c>
      <c r="C66" s="7" t="s">
        <v>1800</v>
      </c>
      <c r="D66" s="7" t="s">
        <v>1801</v>
      </c>
      <c r="E66" s="7" t="s">
        <v>1802</v>
      </c>
      <c r="F66" s="7" t="s">
        <v>1803</v>
      </c>
      <c r="G66" s="12" t="s">
        <v>1804</v>
      </c>
    </row>
    <row r="67" customFormat="false" ht="45.75" hidden="false" customHeight="true" outlineLevel="0" collapsed="false">
      <c r="A67" s="17" t="n">
        <v>63</v>
      </c>
      <c r="B67" s="7" t="s">
        <v>1805</v>
      </c>
      <c r="C67" s="7" t="s">
        <v>1806</v>
      </c>
      <c r="D67" s="7" t="s">
        <v>1568</v>
      </c>
      <c r="E67" s="7" t="s">
        <v>1807</v>
      </c>
      <c r="F67" s="7" t="s">
        <v>1808</v>
      </c>
      <c r="G67" s="12" t="s">
        <v>1809</v>
      </c>
    </row>
    <row r="68" customFormat="false" ht="45.75" hidden="false" customHeight="true" outlineLevel="0" collapsed="false">
      <c r="A68" s="17" t="n">
        <v>64</v>
      </c>
      <c r="B68" s="7" t="s">
        <v>1810</v>
      </c>
      <c r="C68" s="7" t="s">
        <v>1811</v>
      </c>
      <c r="D68" s="7" t="s">
        <v>1568</v>
      </c>
      <c r="E68" s="7" t="s">
        <v>1812</v>
      </c>
      <c r="F68" s="7" t="s">
        <v>1813</v>
      </c>
      <c r="G68" s="12" t="s">
        <v>1814</v>
      </c>
    </row>
    <row r="69" customFormat="false" ht="45.75" hidden="false" customHeight="true" outlineLevel="0" collapsed="false">
      <c r="A69" s="17" t="n">
        <v>65</v>
      </c>
      <c r="B69" s="7" t="s">
        <v>1815</v>
      </c>
      <c r="C69" s="7" t="s">
        <v>1816</v>
      </c>
      <c r="D69" s="7" t="s">
        <v>1568</v>
      </c>
      <c r="E69" s="7" t="s">
        <v>1817</v>
      </c>
      <c r="F69" s="7" t="s">
        <v>1818</v>
      </c>
      <c r="G69" s="12" t="s">
        <v>1819</v>
      </c>
    </row>
    <row r="70" customFormat="false" ht="23.2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23.2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23.25" hidden="false" customHeight="true" outlineLevel="0" collapsed="false"/>
    <row r="84" customFormat="false" ht="23.25" hidden="false" customHeight="true" outlineLevel="0" collapsed="false"/>
  </sheetData>
  <autoFilter ref="A4:G69"/>
  <hyperlinks>
    <hyperlink ref="G5" r:id="rId1" display="https://job-boards.eu.greenhouse.io/eggai/jobs/4772834101"/>
    <hyperlink ref="G6" r:id="rId2" display="https://job-boards.greenhouse.io/nuitee/jobs/4901595101"/>
    <hyperlink ref="G7" r:id="rId3" display="https://job-boards.greenhouse.io/arizeai/jobs/5793354004"/>
    <hyperlink ref="G8" r:id="rId4" display="https://jobs.ashbyhq.com/hipeople-official/6c330d7b-7c6d-4993-8893-b58b5289d442/application"/>
    <hyperlink ref="G9" r:id="rId5" display="https://jobs.ashbyhq.com/g2i/e2b998c8-7b32-4964-997c-93f1422ddff3/application"/>
    <hyperlink ref="G10" r:id="rId6" display="https://jobs.ashbyhq.com/g2i/eef73fe6-fe5f-4949-a0f7-a21853eb4179/application"/>
    <hyperlink ref="G11" r:id="rId7" display="https://job-boards.greenhouse.io/arizeai/jobs/5989510004"/>
    <hyperlink ref="G12" r:id="rId8" display="https://jobs.ashbyhq.com/openhands/57564a95-13b6-47b1-b601-dd2353484e47/application"/>
    <hyperlink ref="G13" r:id="rId9" display="https://jobs.ashbyhq.com/camunda/42b8007d-8299-4793-9581-2b3868ba0754/application"/>
    <hyperlink ref="G14" r:id="rId10" display="https://jobs.ashbyhq.com/viktor/c750869a-1859-4339-bfc9-161a9ee2dc9f/application"/>
    <hyperlink ref="G15" r:id="rId11" display="https://jobs.ashbyhq.com/tem/9f448576-a9aa-4c38-b6eb-745b4cc1fc35/application"/>
    <hyperlink ref="G16" r:id="rId12" display="https://jobs.ashbyhq.com/oh/bcb79f15-907c-48bd-b78e-fcbbd2160a3e/application"/>
    <hyperlink ref="G17" r:id="rId13" display="https://jobs.ashbyhq.com/g2i/86297d95-58ff-4d8b-90d9-98aff576c178/application"/>
    <hyperlink ref="G18" r:id="rId14" display="https://jobs.ashbyhq.com/duvo/a1e5cdbc-6159-4895-8dae-cf71196550fa/application"/>
    <hyperlink ref="G19" r:id="rId15" display="https://job-boards.greenhouse.io/sourcegraph91/jobs/6113147004"/>
    <hyperlink ref="G20" r:id="rId16" display="https://jobs.ashbyhq.com/reedsy/b043b550-02b7-416f-8969-5db8fd9dc8ee/application"/>
    <hyperlink ref="G21" r:id="rId17" display="https://jobs.ashbyhq.com/cohere/2d256112-b336-4539-8133-a0bf7f6698f0/application"/>
    <hyperlink ref="G22" r:id="rId18" display="https://jobs.ashbyhq.com/n8n/6a370ff8-e069-48ed-bffa-5716a3dbd9d5/application"/>
    <hyperlink ref="G23" r:id="rId19" display="https://jobs.ashbyhq.com/goldsky/790751f0-225b-4c88-ad17-58848a757e13/application"/>
    <hyperlink ref="G24" r:id="rId20" display="https://jobs.ashbyhq.com/elevenlabs/6c4c57c1-ec72-42ba-af3a-eb7aebbde2e6/application"/>
    <hyperlink ref="G25" r:id="rId21" display="https://jobs.lever.co/musixmatch/65971c0d-8220-47eb-a993-9705dc814c92/apply"/>
    <hyperlink ref="G26" r:id="rId22" display="https://jobs.ashbyhq.com/myedspacecareers/e3519a68-d9b4-43c7-9cfe-855163c284b2/application"/>
    <hyperlink ref="G27" r:id="rId23" display="https://jobs.eu.lever.co/eneba/df5397c1-489f-4eb9-a771-3d64eb42c86e/apply"/>
    <hyperlink ref="G28" r:id="rId24" display="https://jobs.ashbyhq.com/supabase/23c9ce7e-6b7b-4316-8f00-8f318e902441/application"/>
    <hyperlink ref="G29" r:id="rId25" display="https://jobs.ashbyhq.com/reflow/60f53162-d4d6-493f-a86b-2a4151816497/application"/>
    <hyperlink ref="G30" r:id="rId26" display="https://jobs.ashbyhq.com/codex/3839fbad-7966-4c19-ad0f-138d8fa47062/application"/>
    <hyperlink ref="G31" r:id="rId27" display="https://jobs.ashbyhq.com/checkly/39dceb59-01f6-43c9-9629-1055efd9697f/application"/>
    <hyperlink ref="G32" r:id="rId28" display="https://jobs.ashbyhq.com/jimdo.com/7059268a-22f2-4a68-9bd8-e376c67a3b7b/application"/>
    <hyperlink ref="G33" r:id="rId29" display="https://jobs.ashbyhq.com/taxfix.com/40703426-e9e5-4df0-9a6b-cea5526a5b05/application"/>
    <hyperlink ref="G34" r:id="rId30" display="https://job-boards.greenhouse.io/embed/job_app?for=make&amp;token=7778897003"/>
    <hyperlink ref="G35" r:id="rId31" display="https://job-boards.greenhouse.io/timeleft/jobs/4917404101"/>
    <hyperlink ref="G36" r:id="rId32" display="https://job-boards.eu.greenhouse.io/justmarkets/jobs/4929557101"/>
    <hyperlink ref="G37" r:id="rId33" display="https://job-boards.greenhouse.io/sportygroup/jobs/4933981101"/>
    <hyperlink ref="G38" r:id="rId34" display="https://jobs.lever.co/jobgether/f481d0d9-88e3-46e6-b263-0690a73d0786/apply"/>
    <hyperlink ref="G39" r:id="rId35" display="https://jobs.lever.co/jobgether/ba7cdbb8-ff78-4514-9974-ab8db0a51f22/apply"/>
    <hyperlink ref="G40" r:id="rId36" display="https://jobs.lever.co/jobgether/7bb350c7-d399-431a-a69f-4cd38232d71e/apply"/>
    <hyperlink ref="G41" r:id="rId37" display="https://jobs.lever.co/jobgether/e2a5be55-76e4-44f7-b7b6-2d6e54b14bed/apply"/>
    <hyperlink ref="G42" r:id="rId38" display="https://jobs.lever.co/jobgether/17f76227-a965-40ec-8d5b-5f98bef62e3e/apply"/>
    <hyperlink ref="G43" r:id="rId39" display="https://jobs.lever.co/jobgether/604e42de-5233-4d20-b7a6-6823f0d6b56d/apply"/>
    <hyperlink ref="G44" r:id="rId40" display="https://jobs.lever.co/mendix/c0c545fe-53ae-4eda-869f-da2871dac697/apply"/>
    <hyperlink ref="G45" r:id="rId41" display="https://job-boards.greenhouse.io/rtbhouse/jobs/4913268101"/>
    <hyperlink ref="G46" r:id="rId42" display="https://job-boards.greenhouse.io/awin/jobs/7720634003"/>
    <hyperlink ref="G47" r:id="rId43" display="https://jobs.lever.co/jobgether/ebed3f39-8988-4cda-bc1b-fc212cc8dd98/apply"/>
    <hyperlink ref="G48" r:id="rId44" display="https://job-boards.greenhouse.io/bloomreach/jobs/5779409"/>
    <hyperlink ref="G49" r:id="rId45" display="https://jobs.lever.co/oxylabs/8682b06a-c455-406f-ab50-65ce4c3ce318/apply"/>
    <hyperlink ref="G50" r:id="rId46" display="https://jobs.lever.co/jobgether/b8e4e97f-2d78-41a8-a179-110fc4ed6119/apply"/>
    <hyperlink ref="G51" r:id="rId47" display="https://jobs.lever.co/jobgether/f5760e2d-3cd2-4df5-8650-a04a78960d32/apply"/>
    <hyperlink ref="G52" r:id="rId48" display="https://jobs.eu.lever.co/xm/5b5734a5-0ea7-4360-b4d1-6939aff2a621/apply"/>
    <hyperlink ref="G53" r:id="rId49" display="https://jobs.lever.co/jobgether/e0c2953f-0797-40d5-b9fb-ef8697bbc421/apply"/>
    <hyperlink ref="G54" r:id="rId50" display="https://jobs.lever.co/siteground/f3e78210-c419-449a-92fe-264344b90377/apply"/>
    <hyperlink ref="G55" r:id="rId51" display="https://jobs.ashbyhq.com/upvest/15f04024-1155-4c45-8bc8-40f5ba4cb4e0/application"/>
    <hyperlink ref="G56" r:id="rId52" display="https://job-boards.eu.greenhouse.io/superchat/jobs/4937205101"/>
    <hyperlink ref="G58" r:id="rId53" display="https://jobs.ashbyhq.com/sanity/7bb0c4d3-10e9-4e97-91a0-cfd1d0fc980a/application"/>
    <hyperlink ref="G61" r:id="rId54" display="https://jobs.ashbyhq.com/LeadX-Pro/e7d047be-5c12-411f-806e-3a08d044dafa/application"/>
    <hyperlink ref="G64" r:id="rId55" display="https://jobs.ashbyhq.com/deepsetai/64ae158e-76ed-43b9-8f19-d709bd2231ee/application"/>
    <hyperlink ref="G65" r:id="rId56" display="https://jobs.ashbyhq.com/quicknode/aa18b773-624e-4173-ab8c-fa534f3bab4b/application"/>
    <hyperlink ref="G66" r:id="rId57" display="https://chrono24.jobs.personio.de/job/2717899/apply?language=en"/>
    <hyperlink ref="G67" r:id="rId58" display="https://jobs.ashbyhq.com/kota/cf1dc9c1-dcfb-48ff-aade-8b11c5180216/application"/>
    <hyperlink ref="G68" r:id="rId59" display="https://jobs.ashbyhq.com/bjakcareer/3ead2626-c0ad-4fd4-96c1-1e4221c7ee81/application"/>
    <hyperlink ref="G69" r:id="rId60" display="https://jobs.ashbyhq.com/orb/3197e844-cf70-47b2-9a90-df64393e9e5b/applic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2"/>
    <col collapsed="false" customWidth="true" hidden="false" outlineLevel="0" max="3" min="3" style="1" width="13"/>
    <col collapsed="false" customWidth="true" hidden="false" outlineLevel="0" max="4" min="4" style="1" width="26"/>
    <col collapsed="false" customWidth="true" hidden="false" outlineLevel="0" max="5" min="5" style="1" width="20"/>
    <col collapsed="false" customWidth="true" hidden="false" outlineLevel="0" max="6" min="6" style="1" width="62"/>
    <col collapsed="false" customWidth="true" hidden="false" outlineLevel="0" max="7" min="7" style="1" width="52"/>
  </cols>
  <sheetData>
    <row r="1" customFormat="false" ht="17.25" hidden="false" customHeight="true" outlineLevel="0" collapsed="false">
      <c r="A1" s="18" t="s">
        <v>1820</v>
      </c>
    </row>
    <row r="2" customFormat="false" ht="45" hidden="false" customHeight="true" outlineLevel="0" collapsed="false">
      <c r="A2" s="19" t="s">
        <v>1821</v>
      </c>
      <c r="B2" s="19"/>
      <c r="C2" s="19"/>
      <c r="D2" s="19"/>
      <c r="E2" s="19"/>
      <c r="F2" s="19"/>
    </row>
    <row r="4" customFormat="false" ht="23.25" hidden="false" customHeight="true" outlineLevel="0" collapsed="false">
      <c r="A4" s="20" t="s">
        <v>58</v>
      </c>
      <c r="B4" s="20" t="s">
        <v>57</v>
      </c>
      <c r="C4" s="20" t="s">
        <v>1551</v>
      </c>
      <c r="D4" s="20" t="s">
        <v>1822</v>
      </c>
      <c r="E4" s="20" t="s">
        <v>1823</v>
      </c>
      <c r="F4" s="20" t="s">
        <v>1824</v>
      </c>
      <c r="G4" s="20" t="s">
        <v>1554</v>
      </c>
    </row>
    <row r="5" customFormat="false" ht="45.75" hidden="false" customHeight="true" outlineLevel="0" collapsed="false">
      <c r="A5" s="21" t="s">
        <v>1825</v>
      </c>
      <c r="B5" s="21" t="s">
        <v>1826</v>
      </c>
      <c r="C5" s="21" t="s">
        <v>1557</v>
      </c>
      <c r="D5" s="21" t="s">
        <v>1827</v>
      </c>
      <c r="E5" s="21" t="s">
        <v>1828</v>
      </c>
      <c r="F5" s="21" t="s">
        <v>1829</v>
      </c>
      <c r="G5" s="22" t="s">
        <v>1830</v>
      </c>
    </row>
    <row r="6" customFormat="false" ht="45.75" hidden="false" customHeight="true" outlineLevel="0" collapsed="false">
      <c r="A6" s="21" t="s">
        <v>1831</v>
      </c>
      <c r="B6" s="21" t="s">
        <v>1832</v>
      </c>
      <c r="C6" s="21" t="s">
        <v>1557</v>
      </c>
      <c r="D6" s="21" t="s">
        <v>1827</v>
      </c>
      <c r="E6" s="21" t="s">
        <v>1828</v>
      </c>
      <c r="F6" s="21" t="s">
        <v>1833</v>
      </c>
      <c r="G6" s="22" t="s">
        <v>1834</v>
      </c>
    </row>
    <row r="7" customFormat="false" ht="45.75" hidden="false" customHeight="true" outlineLevel="0" collapsed="false">
      <c r="A7" s="21" t="s">
        <v>1835</v>
      </c>
      <c r="B7" s="21" t="s">
        <v>1836</v>
      </c>
      <c r="C7" s="21" t="s">
        <v>1557</v>
      </c>
      <c r="D7" s="21" t="s">
        <v>1827</v>
      </c>
      <c r="E7" s="21" t="s">
        <v>1828</v>
      </c>
      <c r="F7" s="21" t="s">
        <v>1837</v>
      </c>
      <c r="G7" s="22" t="s">
        <v>1838</v>
      </c>
    </row>
    <row r="8" customFormat="false" ht="45.75" hidden="false" customHeight="true" outlineLevel="0" collapsed="false">
      <c r="A8" s="21" t="s">
        <v>1839</v>
      </c>
      <c r="B8" s="21" t="s">
        <v>1840</v>
      </c>
      <c r="C8" s="21" t="s">
        <v>1557</v>
      </c>
      <c r="D8" s="21" t="s">
        <v>1827</v>
      </c>
      <c r="E8" s="21" t="s">
        <v>1828</v>
      </c>
      <c r="F8" s="21" t="s">
        <v>1841</v>
      </c>
      <c r="G8" s="22" t="s">
        <v>1842</v>
      </c>
    </row>
    <row r="9" customFormat="false" ht="45.75" hidden="false" customHeight="true" outlineLevel="0" collapsed="false">
      <c r="A9" s="21" t="s">
        <v>1839</v>
      </c>
      <c r="B9" s="21" t="s">
        <v>1843</v>
      </c>
      <c r="C9" s="21" t="s">
        <v>1557</v>
      </c>
      <c r="D9" s="21" t="s">
        <v>1827</v>
      </c>
      <c r="E9" s="21" t="s">
        <v>1828</v>
      </c>
      <c r="F9" s="21" t="s">
        <v>1844</v>
      </c>
      <c r="G9" s="22" t="s">
        <v>1845</v>
      </c>
    </row>
    <row r="10" customFormat="false" ht="45.75" hidden="false" customHeight="true" outlineLevel="0" collapsed="false">
      <c r="A10" s="21" t="s">
        <v>1846</v>
      </c>
      <c r="B10" s="21" t="s">
        <v>1847</v>
      </c>
      <c r="C10" s="21" t="s">
        <v>1557</v>
      </c>
      <c r="D10" s="21" t="s">
        <v>1827</v>
      </c>
      <c r="E10" s="21" t="s">
        <v>1828</v>
      </c>
      <c r="F10" s="21" t="s">
        <v>1848</v>
      </c>
      <c r="G10" s="22" t="s">
        <v>1849</v>
      </c>
    </row>
    <row r="11" customFormat="false" ht="45.75" hidden="false" customHeight="true" outlineLevel="0" collapsed="false">
      <c r="A11" s="21" t="s">
        <v>1850</v>
      </c>
      <c r="B11" s="21" t="s">
        <v>1851</v>
      </c>
      <c r="C11" s="21" t="s">
        <v>1557</v>
      </c>
      <c r="D11" s="21" t="s">
        <v>1827</v>
      </c>
      <c r="E11" s="21" t="s">
        <v>1828</v>
      </c>
      <c r="F11" s="21" t="s">
        <v>1852</v>
      </c>
      <c r="G11" s="22" t="s">
        <v>1853</v>
      </c>
    </row>
    <row r="12" customFormat="false" ht="45.75" hidden="false" customHeight="true" outlineLevel="0" collapsed="false">
      <c r="A12" s="21" t="s">
        <v>1854</v>
      </c>
      <c r="B12" s="21" t="s">
        <v>1855</v>
      </c>
      <c r="C12" s="21" t="s">
        <v>1557</v>
      </c>
      <c r="D12" s="21" t="s">
        <v>1827</v>
      </c>
      <c r="E12" s="21" t="s">
        <v>1828</v>
      </c>
      <c r="F12" s="21" t="s">
        <v>1856</v>
      </c>
      <c r="G12" s="22" t="s">
        <v>1857</v>
      </c>
    </row>
    <row r="13" customFormat="false" ht="45.75" hidden="false" customHeight="true" outlineLevel="0" collapsed="false">
      <c r="A13" s="21" t="s">
        <v>1858</v>
      </c>
      <c r="B13" s="21" t="s">
        <v>1859</v>
      </c>
      <c r="C13" s="21" t="s">
        <v>1557</v>
      </c>
      <c r="D13" s="21" t="s">
        <v>1827</v>
      </c>
      <c r="E13" s="21" t="s">
        <v>1860</v>
      </c>
      <c r="F13" s="21" t="s">
        <v>1861</v>
      </c>
      <c r="G13" s="22" t="s">
        <v>1862</v>
      </c>
    </row>
    <row r="14" customFormat="false" ht="45.75" hidden="false" customHeight="true" outlineLevel="0" collapsed="false">
      <c r="A14" s="21" t="s">
        <v>1858</v>
      </c>
      <c r="B14" s="21" t="s">
        <v>1863</v>
      </c>
      <c r="C14" s="21" t="s">
        <v>1557</v>
      </c>
      <c r="D14" s="21" t="s">
        <v>1827</v>
      </c>
      <c r="E14" s="21" t="s">
        <v>1828</v>
      </c>
      <c r="F14" s="21" t="s">
        <v>1864</v>
      </c>
      <c r="G14" s="22" t="s">
        <v>1865</v>
      </c>
    </row>
    <row r="15" customFormat="false" ht="45.75" hidden="false" customHeight="true" outlineLevel="0" collapsed="false">
      <c r="A15" s="21" t="s">
        <v>1858</v>
      </c>
      <c r="B15" s="21" t="s">
        <v>1866</v>
      </c>
      <c r="C15" s="21" t="s">
        <v>1557</v>
      </c>
      <c r="D15" s="21" t="s">
        <v>1827</v>
      </c>
      <c r="E15" s="21" t="s">
        <v>1860</v>
      </c>
      <c r="F15" s="21" t="s">
        <v>1867</v>
      </c>
      <c r="G15" s="22" t="s">
        <v>1868</v>
      </c>
    </row>
    <row r="16" customFormat="false" ht="45.75" hidden="false" customHeight="true" outlineLevel="0" collapsed="false">
      <c r="A16" s="21" t="s">
        <v>1858</v>
      </c>
      <c r="B16" s="21" t="s">
        <v>1869</v>
      </c>
      <c r="C16" s="21" t="s">
        <v>1557</v>
      </c>
      <c r="D16" s="21" t="s">
        <v>1827</v>
      </c>
      <c r="E16" s="21" t="s">
        <v>1828</v>
      </c>
      <c r="F16" s="21" t="s">
        <v>1870</v>
      </c>
      <c r="G16" s="22" t="s">
        <v>1871</v>
      </c>
    </row>
    <row r="17" customFormat="false" ht="45.75" hidden="false" customHeight="true" outlineLevel="0" collapsed="false">
      <c r="A17" s="21" t="s">
        <v>1872</v>
      </c>
      <c r="B17" s="21" t="s">
        <v>1873</v>
      </c>
      <c r="C17" s="21" t="s">
        <v>1557</v>
      </c>
      <c r="D17" s="21" t="s">
        <v>1827</v>
      </c>
      <c r="E17" s="21" t="s">
        <v>1828</v>
      </c>
      <c r="F17" s="21" t="s">
        <v>1874</v>
      </c>
      <c r="G17" s="22" t="s">
        <v>1875</v>
      </c>
    </row>
    <row r="18" customFormat="false" ht="45.75" hidden="false" customHeight="true" outlineLevel="0" collapsed="false">
      <c r="A18" s="21" t="s">
        <v>1876</v>
      </c>
      <c r="B18" s="21" t="s">
        <v>1877</v>
      </c>
      <c r="C18" s="21" t="s">
        <v>1557</v>
      </c>
      <c r="D18" s="21" t="s">
        <v>1827</v>
      </c>
      <c r="E18" s="21" t="s">
        <v>1828</v>
      </c>
      <c r="F18" s="21" t="s">
        <v>1878</v>
      </c>
      <c r="G18" s="22" t="s">
        <v>1879</v>
      </c>
    </row>
    <row r="19" customFormat="false" ht="45.75" hidden="false" customHeight="true" outlineLevel="0" collapsed="false">
      <c r="A19" s="21" t="s">
        <v>1880</v>
      </c>
      <c r="B19" s="21" t="s">
        <v>1881</v>
      </c>
      <c r="C19" s="21" t="s">
        <v>1557</v>
      </c>
      <c r="D19" s="21" t="s">
        <v>1827</v>
      </c>
      <c r="E19" s="21" t="s">
        <v>1828</v>
      </c>
      <c r="F19" s="21" t="s">
        <v>1882</v>
      </c>
      <c r="G19" s="22" t="s">
        <v>1883</v>
      </c>
    </row>
    <row r="20" customFormat="false" ht="45.75" hidden="false" customHeight="true" outlineLevel="0" collapsed="false">
      <c r="A20" s="21" t="s">
        <v>1617</v>
      </c>
      <c r="B20" s="21" t="s">
        <v>1884</v>
      </c>
      <c r="C20" s="21" t="s">
        <v>1568</v>
      </c>
      <c r="D20" s="21" t="s">
        <v>1885</v>
      </c>
      <c r="E20" s="21" t="s">
        <v>1828</v>
      </c>
      <c r="F20" s="21" t="s">
        <v>1886</v>
      </c>
      <c r="G20" s="22" t="s">
        <v>1887</v>
      </c>
    </row>
    <row r="21" customFormat="false" ht="34.5" hidden="false" customHeight="true" outlineLevel="0" collapsed="false">
      <c r="A21" s="21" t="s">
        <v>1888</v>
      </c>
      <c r="B21" s="21" t="s">
        <v>1889</v>
      </c>
      <c r="C21" s="21" t="s">
        <v>1557</v>
      </c>
      <c r="D21" s="21" t="s">
        <v>1827</v>
      </c>
      <c r="E21" s="21" t="s">
        <v>1828</v>
      </c>
      <c r="F21" s="21" t="s">
        <v>1890</v>
      </c>
      <c r="G21" s="22" t="s">
        <v>1891</v>
      </c>
    </row>
    <row r="22" customFormat="false" ht="45.75" hidden="false" customHeight="true" outlineLevel="0" collapsed="false">
      <c r="A22" s="21" t="s">
        <v>1892</v>
      </c>
      <c r="B22" s="21" t="s">
        <v>1893</v>
      </c>
      <c r="C22" s="21" t="s">
        <v>1568</v>
      </c>
      <c r="D22" s="21" t="s">
        <v>1894</v>
      </c>
      <c r="E22" s="21" t="s">
        <v>1828</v>
      </c>
      <c r="F22" s="21" t="s">
        <v>1895</v>
      </c>
      <c r="G22" s="22" t="s">
        <v>1896</v>
      </c>
    </row>
    <row r="23" customFormat="false" ht="68.25" hidden="false" customHeight="true" outlineLevel="0" collapsed="false">
      <c r="A23" s="21" t="s">
        <v>1897</v>
      </c>
      <c r="B23" s="21" t="s">
        <v>1898</v>
      </c>
      <c r="C23" s="21" t="s">
        <v>1568</v>
      </c>
      <c r="D23" s="21" t="s">
        <v>1894</v>
      </c>
      <c r="E23" s="21" t="s">
        <v>1828</v>
      </c>
      <c r="F23" s="21" t="s">
        <v>1899</v>
      </c>
      <c r="G23" s="22" t="s">
        <v>1900</v>
      </c>
    </row>
    <row r="24" customFormat="false" ht="34.5" hidden="false" customHeight="true" outlineLevel="0" collapsed="false">
      <c r="A24" s="21" t="s">
        <v>1901</v>
      </c>
      <c r="B24" s="21" t="s">
        <v>645</v>
      </c>
      <c r="C24" s="21" t="s">
        <v>1568</v>
      </c>
      <c r="D24" s="21" t="s">
        <v>1902</v>
      </c>
      <c r="E24" s="21" t="s">
        <v>1903</v>
      </c>
      <c r="F24" s="21" t="s">
        <v>1904</v>
      </c>
      <c r="G24" s="22" t="s">
        <v>1905</v>
      </c>
    </row>
    <row r="25" customFormat="false" ht="45.75" hidden="false" customHeight="true" outlineLevel="0" collapsed="false">
      <c r="A25" s="21" t="s">
        <v>1906</v>
      </c>
      <c r="B25" s="21" t="s">
        <v>1907</v>
      </c>
      <c r="C25" s="21" t="s">
        <v>1568</v>
      </c>
      <c r="D25" s="21" t="s">
        <v>1908</v>
      </c>
      <c r="E25" s="21" t="s">
        <v>1903</v>
      </c>
      <c r="F25" s="21" t="s">
        <v>1909</v>
      </c>
      <c r="G25" s="22" t="s">
        <v>1910</v>
      </c>
    </row>
    <row r="26" customFormat="false" ht="45.75" hidden="false" customHeight="true" outlineLevel="0" collapsed="false">
      <c r="A26" s="21" t="s">
        <v>1911</v>
      </c>
      <c r="B26" s="21" t="s">
        <v>1912</v>
      </c>
      <c r="C26" s="21" t="s">
        <v>1568</v>
      </c>
      <c r="D26" s="21" t="s">
        <v>1913</v>
      </c>
      <c r="E26" s="21" t="s">
        <v>1860</v>
      </c>
      <c r="F26" s="21" t="s">
        <v>1914</v>
      </c>
      <c r="G26" s="22" t="s">
        <v>1915</v>
      </c>
    </row>
    <row r="27" customFormat="false" ht="45.75" hidden="false" customHeight="true" outlineLevel="0" collapsed="false">
      <c r="A27" s="21" t="s">
        <v>1916</v>
      </c>
      <c r="B27" s="21" t="s">
        <v>1917</v>
      </c>
      <c r="C27" s="21" t="s">
        <v>1568</v>
      </c>
      <c r="D27" s="21" t="s">
        <v>1918</v>
      </c>
      <c r="E27" s="21" t="s">
        <v>1903</v>
      </c>
      <c r="F27" s="21" t="s">
        <v>1919</v>
      </c>
      <c r="G27" s="22" t="s">
        <v>1920</v>
      </c>
    </row>
    <row r="28" customFormat="false" ht="45.75" hidden="false" customHeight="true" outlineLevel="0" collapsed="false">
      <c r="A28" s="21" t="s">
        <v>1921</v>
      </c>
      <c r="B28" s="21" t="s">
        <v>1922</v>
      </c>
      <c r="C28" s="21" t="s">
        <v>1557</v>
      </c>
      <c r="D28" s="21" t="s">
        <v>1827</v>
      </c>
      <c r="E28" s="21" t="s">
        <v>1828</v>
      </c>
      <c r="F28" s="21" t="s">
        <v>1923</v>
      </c>
      <c r="G28" s="22" t="s">
        <v>1924</v>
      </c>
    </row>
    <row r="29" customFormat="false" ht="45.75" hidden="false" customHeight="true" outlineLevel="0" collapsed="false">
      <c r="A29" s="21" t="s">
        <v>1925</v>
      </c>
      <c r="B29" s="21" t="s">
        <v>384</v>
      </c>
      <c r="C29" s="21" t="s">
        <v>1557</v>
      </c>
      <c r="D29" s="21" t="s">
        <v>1827</v>
      </c>
      <c r="E29" s="21" t="s">
        <v>1828</v>
      </c>
      <c r="F29" s="21" t="s">
        <v>1926</v>
      </c>
      <c r="G29" s="22" t="s">
        <v>1927</v>
      </c>
    </row>
    <row r="30" customFormat="false" ht="45.75" hidden="false" customHeight="true" outlineLevel="0" collapsed="false">
      <c r="A30" s="21" t="s">
        <v>1928</v>
      </c>
      <c r="B30" s="21" t="s">
        <v>1929</v>
      </c>
      <c r="C30" s="21" t="s">
        <v>1568</v>
      </c>
      <c r="D30" s="21" t="s">
        <v>1930</v>
      </c>
      <c r="E30" s="21" t="s">
        <v>1828</v>
      </c>
      <c r="F30" s="21" t="s">
        <v>1931</v>
      </c>
      <c r="G30" s="22" t="s">
        <v>1932</v>
      </c>
    </row>
    <row r="31" customFormat="false" ht="45.75" hidden="false" customHeight="true" outlineLevel="0" collapsed="false">
      <c r="A31" s="21" t="s">
        <v>1933</v>
      </c>
      <c r="B31" s="21" t="s">
        <v>1934</v>
      </c>
      <c r="C31" s="21" t="s">
        <v>1935</v>
      </c>
      <c r="D31" s="21" t="s">
        <v>1936</v>
      </c>
      <c r="E31" s="21" t="s">
        <v>1937</v>
      </c>
      <c r="F31" s="21" t="s">
        <v>1938</v>
      </c>
      <c r="G31" s="22" t="s">
        <v>1939</v>
      </c>
    </row>
    <row r="32" customFormat="false" ht="45.75" hidden="false" customHeight="true" outlineLevel="0" collapsed="false">
      <c r="A32" s="21" t="s">
        <v>1940</v>
      </c>
      <c r="B32" s="21" t="s">
        <v>1941</v>
      </c>
      <c r="C32" s="21" t="s">
        <v>1935</v>
      </c>
      <c r="D32" s="21" t="s">
        <v>1942</v>
      </c>
      <c r="E32" s="21" t="s">
        <v>1828</v>
      </c>
      <c r="F32" s="21" t="s">
        <v>1943</v>
      </c>
      <c r="G32" s="22" t="s">
        <v>1944</v>
      </c>
    </row>
    <row r="33" customFormat="false" ht="45.75" hidden="false" customHeight="true" outlineLevel="0" collapsed="false">
      <c r="A33" s="21" t="s">
        <v>1945</v>
      </c>
      <c r="B33" s="21" t="s">
        <v>1934</v>
      </c>
      <c r="C33" s="21" t="s">
        <v>1935</v>
      </c>
      <c r="D33" s="21" t="s">
        <v>1553</v>
      </c>
      <c r="E33" s="21" t="s">
        <v>1946</v>
      </c>
      <c r="F33" s="21" t="s">
        <v>1947</v>
      </c>
      <c r="G33" s="22" t="s">
        <v>1948</v>
      </c>
    </row>
    <row r="34" customFormat="false" ht="45.75" hidden="false" customHeight="true" outlineLevel="0" collapsed="false">
      <c r="A34" s="21" t="s">
        <v>1949</v>
      </c>
      <c r="B34" s="21" t="s">
        <v>1950</v>
      </c>
      <c r="C34" s="21" t="s">
        <v>1935</v>
      </c>
      <c r="D34" s="21" t="s">
        <v>1951</v>
      </c>
      <c r="E34" s="21" t="s">
        <v>1952</v>
      </c>
      <c r="F34" s="21" t="s">
        <v>1953</v>
      </c>
      <c r="G34" s="22" t="s">
        <v>1954</v>
      </c>
    </row>
    <row r="35" customFormat="false" ht="45.75" hidden="false" customHeight="true" outlineLevel="0" collapsed="false">
      <c r="A35" s="21" t="s">
        <v>1955</v>
      </c>
      <c r="B35" s="21" t="s">
        <v>1956</v>
      </c>
      <c r="C35" s="21" t="s">
        <v>1957</v>
      </c>
      <c r="D35" s="21" t="s">
        <v>1553</v>
      </c>
      <c r="E35" s="21" t="s">
        <v>1828</v>
      </c>
      <c r="F35" s="21" t="s">
        <v>1958</v>
      </c>
      <c r="G35" s="22" t="s">
        <v>1959</v>
      </c>
    </row>
    <row r="36" customFormat="false" ht="45.75" hidden="false" customHeight="true" outlineLevel="0" collapsed="false">
      <c r="A36" s="21" t="s">
        <v>1960</v>
      </c>
      <c r="B36" s="21" t="s">
        <v>1961</v>
      </c>
      <c r="C36" s="21" t="s">
        <v>1957</v>
      </c>
      <c r="D36" s="21" t="s">
        <v>1962</v>
      </c>
      <c r="E36" s="21" t="s">
        <v>1963</v>
      </c>
      <c r="F36" s="21" t="s">
        <v>1964</v>
      </c>
      <c r="G36" s="22" t="s">
        <v>1965</v>
      </c>
    </row>
    <row r="37" customFormat="false" ht="45.75" hidden="false" customHeight="true" outlineLevel="0" collapsed="false">
      <c r="A37" s="21" t="s">
        <v>748</v>
      </c>
      <c r="B37" s="21" t="s">
        <v>1966</v>
      </c>
      <c r="C37" s="21" t="s">
        <v>1957</v>
      </c>
      <c r="D37" s="21" t="s">
        <v>1967</v>
      </c>
      <c r="E37" s="21" t="s">
        <v>1828</v>
      </c>
      <c r="F37" s="21" t="s">
        <v>1968</v>
      </c>
      <c r="G37" s="22" t="s">
        <v>1969</v>
      </c>
    </row>
    <row r="38" customFormat="false" ht="45.75" hidden="false" customHeight="true" outlineLevel="0" collapsed="false">
      <c r="A38" s="21" t="s">
        <v>1970</v>
      </c>
      <c r="B38" s="21" t="s">
        <v>700</v>
      </c>
      <c r="C38" s="21" t="s">
        <v>1568</v>
      </c>
      <c r="D38" s="21" t="s">
        <v>1971</v>
      </c>
      <c r="E38" s="21" t="s">
        <v>1903</v>
      </c>
      <c r="F38" s="21" t="s">
        <v>1972</v>
      </c>
      <c r="G38" s="22" t="s">
        <v>1973</v>
      </c>
    </row>
    <row r="39" customFormat="false" ht="45.75" hidden="false" customHeight="true" outlineLevel="0" collapsed="false">
      <c r="A39" s="21" t="s">
        <v>1974</v>
      </c>
      <c r="B39" s="21" t="s">
        <v>1975</v>
      </c>
      <c r="C39" s="21" t="s">
        <v>1801</v>
      </c>
      <c r="D39" s="21" t="s">
        <v>1942</v>
      </c>
      <c r="E39" s="21" t="s">
        <v>1828</v>
      </c>
      <c r="F39" s="21" t="s">
        <v>1976</v>
      </c>
      <c r="G39" s="22" t="s">
        <v>1977</v>
      </c>
    </row>
    <row r="40" customFormat="false" ht="45.75" hidden="false" customHeight="true" outlineLevel="0" collapsed="false">
      <c r="A40" s="21" t="s">
        <v>387</v>
      </c>
      <c r="B40" s="21" t="s">
        <v>700</v>
      </c>
      <c r="C40" s="21" t="s">
        <v>1957</v>
      </c>
      <c r="D40" s="21" t="s">
        <v>1978</v>
      </c>
      <c r="E40" s="21" t="s">
        <v>1979</v>
      </c>
      <c r="F40" s="21" t="s">
        <v>1980</v>
      </c>
      <c r="G40" s="22" t="s">
        <v>1981</v>
      </c>
    </row>
    <row r="41" customFormat="false" ht="45.75" hidden="false" customHeight="true" outlineLevel="0" collapsed="false">
      <c r="A41" s="21" t="s">
        <v>1982</v>
      </c>
      <c r="B41" s="21" t="s">
        <v>1983</v>
      </c>
      <c r="C41" s="21" t="s">
        <v>1568</v>
      </c>
      <c r="D41" s="21" t="s">
        <v>1827</v>
      </c>
      <c r="E41" s="21" t="s">
        <v>1828</v>
      </c>
      <c r="F41" s="21" t="s">
        <v>1984</v>
      </c>
      <c r="G41" s="22" t="s">
        <v>1985</v>
      </c>
    </row>
    <row r="42" customFormat="false" ht="45.75" hidden="false" customHeight="true" outlineLevel="0" collapsed="false">
      <c r="A42" s="21" t="s">
        <v>1986</v>
      </c>
      <c r="B42" s="21" t="s">
        <v>1661</v>
      </c>
      <c r="C42" s="21" t="s">
        <v>1801</v>
      </c>
      <c r="D42" s="21" t="s">
        <v>1987</v>
      </c>
      <c r="E42" s="21" t="s">
        <v>1988</v>
      </c>
      <c r="F42" s="21" t="s">
        <v>1989</v>
      </c>
      <c r="G42" s="22" t="s">
        <v>1990</v>
      </c>
    </row>
    <row r="43" customFormat="false" ht="45.75" hidden="false" customHeight="true" outlineLevel="0" collapsed="false">
      <c r="A43" s="21" t="s">
        <v>1991</v>
      </c>
      <c r="B43" s="21" t="s">
        <v>1992</v>
      </c>
      <c r="C43" s="21" t="s">
        <v>1557</v>
      </c>
      <c r="D43" s="21" t="s">
        <v>1827</v>
      </c>
      <c r="E43" s="21" t="s">
        <v>1828</v>
      </c>
      <c r="F43" s="21" t="s">
        <v>1993</v>
      </c>
      <c r="G43" s="22" t="s">
        <v>1994</v>
      </c>
    </row>
    <row r="44" customFormat="false" ht="45.75" hidden="false" customHeight="true" outlineLevel="0" collapsed="false">
      <c r="A44" s="21" t="s">
        <v>1995</v>
      </c>
      <c r="B44" s="21" t="s">
        <v>1996</v>
      </c>
      <c r="C44" s="21" t="s">
        <v>1557</v>
      </c>
      <c r="D44" s="21" t="s">
        <v>1827</v>
      </c>
      <c r="E44" s="21" t="s">
        <v>1828</v>
      </c>
      <c r="F44" s="21" t="s">
        <v>1997</v>
      </c>
      <c r="G44" s="22" t="s">
        <v>1998</v>
      </c>
    </row>
    <row r="47" customFormat="false" ht="45.75" hidden="false" customHeight="true" outlineLevel="0" collapsed="false"/>
  </sheetData>
  <autoFilter ref="A4:G44"/>
  <mergeCells count="1">
    <mergeCell ref="A2:F2"/>
  </mergeCells>
  <hyperlinks>
    <hyperlink ref="G5" r:id="rId1" display="https://job-boards.greenhouse.io/idnow/jobs/4905098101"/>
    <hyperlink ref="G6" r:id="rId2" display="https://job-boards.greenhouse.io/kentik/jobs/4716196005"/>
    <hyperlink ref="G7" r:id="rId3" display="https://job-boards.greenhouse.io/thequalitygroupgmbh2/jobs/4931097101"/>
    <hyperlink ref="G8" r:id="rId4" display="https://job-boards.greenhouse.io/postman/jobs/7528350003"/>
    <hyperlink ref="G9" r:id="rId5" display="https://job-boards.greenhouse.io/postman/jobs/7529471003"/>
    <hyperlink ref="G10" r:id="rId6" display="https://job-boards.greenhouse.io/appfire/jobs/4711980005"/>
    <hyperlink ref="G11" r:id="rId7" display="https://job-boards.greenhouse.io/databento/jobs/7976255"/>
    <hyperlink ref="G12" r:id="rId8" display="https://job-boards.greenhouse.io/unframe/jobs/4944222101"/>
    <hyperlink ref="G13" r:id="rId9" display="https://job-boards.greenhouse.io/getyourguide/jobs/7976582"/>
    <hyperlink ref="G14" r:id="rId10" display="https://job-boards.greenhouse.io/getyourguide/jobs/7552392"/>
    <hyperlink ref="G15" r:id="rId11" display="https://job-boards.greenhouse.io/getyourguide/jobs/7979056"/>
    <hyperlink ref="G16" r:id="rId12" display="https://job-boards.greenhouse.io/getyourguide/jobs/7887400"/>
    <hyperlink ref="G17" r:id="rId13" display="https://job-boards.greenhouse.io/datacor/jobs/5200122007"/>
    <hyperlink ref="G18" r:id="rId14" display="https://job-boards.greenhouse.io/workboard/jobs/8634352002"/>
    <hyperlink ref="G19" r:id="rId15" display="https://job-boards.greenhouse.io/commercetools/jobs/7774983003"/>
    <hyperlink ref="G20" r:id="rId16" display="https://jobs.ashbyhq.com/n8n/5afbde12-defb-457d-a21e-584347141436/application"/>
    <hyperlink ref="G22" r:id="rId17" display="https://jobs.ashbyhq.com/neara/12c88319-6f1e-48e1-acad-fc4c1017b1cd/application"/>
    <hyperlink ref="G25" r:id="rId18" display="https://jobs.ashbyhq.com/enode/6b852b8a-6b6b-4ad2-be67-094af51f04c7/application"/>
    <hyperlink ref="G27" r:id="rId19" display="https://jobs.ashbyhq.com/rossum.ai/5813d4c2-aa73-40ee-89a6-cc670c80be9f/application"/>
    <hyperlink ref="G28" r:id="rId20" display="https://job-boards.greenhouse.io/altamirafreelance/jobs/4936421101"/>
    <hyperlink ref="G29" r:id="rId21" display="https://job-boards.greenhouse.io/cloudbeds/jobs/4717008005"/>
    <hyperlink ref="G30" r:id="rId22" display="https://jobs.ashbyhq.com/gorilla/d433c595-1824-4fba-be86-61732600a0fd/application"/>
    <hyperlink ref="G31" r:id="rId23" display="https://apply.workable.com/digitalgenius/j/E03A435AC1/apply/"/>
    <hyperlink ref="G32" r:id="rId24" display="https://apply.workable.com/freedomfinanceeu/j/348556E7E4/apply/"/>
    <hyperlink ref="G33" r:id="rId25" display="https://apply.workable.com/laravel/j/E2EEEA7303/apply/"/>
    <hyperlink ref="G34" r:id="rId26" display="https://apply.workable.com/remofirst/j/CB946C18D3/apply/"/>
    <hyperlink ref="G35" r:id="rId27" display="https://makersitegmbh.recruitee.com/o/technical-support-engineer-mfx"/>
    <hyperlink ref="G36" r:id="rId28" display="https://tiugotech.recruitee.com/o/technical-product-manager-ai-services-team"/>
    <hyperlink ref="G37" r:id="rId29" display="https://careers.mgid.com/o/technical-account-manager-rtb-1"/>
    <hyperlink ref="G38" r:id="rId30" display="https://jobs.ashbyhq.com/tandem-health/583fef4f-4417-40d9-a87e-e405180f71ce/application"/>
    <hyperlink ref="G39" r:id="rId31" display="https://hometogo.jobs.personio.de/job/2670372/apply"/>
    <hyperlink ref="G41" r:id="rId32" display="https://jobs.ashbyhq.com/absorblms/a921a1d0-5e93-4bbf-a75e-125732438449/application"/>
    <hyperlink ref="G42" r:id="rId33" display="https://deeploi.jobs.personio.de/job/2717159/apply"/>
    <hyperlink ref="G43" r:id="rId34" display="https://job-boards.greenhouse.io/doitintl/jobs/7795513003"/>
    <hyperlink ref="G44" r:id="rId35" display="https://job-boards.greenhouse.io/customerio/jobs/808936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52"/>
    <col collapsed="false" customWidth="true" hidden="false" outlineLevel="0" max="3" min="3" style="1" width="24"/>
    <col collapsed="false" customWidth="true" hidden="false" outlineLevel="0" max="4" min="4" style="1" width="26"/>
    <col collapsed="false" customWidth="true" hidden="false" outlineLevel="0" max="5" min="5" style="1" width="104"/>
    <col collapsed="false" customWidth="true" hidden="false" outlineLevel="0" max="6" min="6" style="1" width="56"/>
  </cols>
  <sheetData>
    <row r="1" customFormat="false" ht="18" hidden="false" customHeight="true" outlineLevel="0" collapsed="false">
      <c r="A1" s="2" t="s">
        <v>1999</v>
      </c>
    </row>
    <row r="2" customFormat="false" ht="15" hidden="false" customHeight="true" outlineLevel="0" collapsed="false">
      <c r="A2" s="3" t="s">
        <v>2000</v>
      </c>
    </row>
    <row r="4" customFormat="false" ht="30" hidden="false" customHeight="true" outlineLevel="0" collapsed="false">
      <c r="A4" s="4" t="s">
        <v>58</v>
      </c>
      <c r="B4" s="4" t="s">
        <v>57</v>
      </c>
      <c r="C4" s="4" t="s">
        <v>2001</v>
      </c>
      <c r="D4" s="4" t="s">
        <v>63</v>
      </c>
      <c r="E4" s="4" t="s">
        <v>2002</v>
      </c>
      <c r="F4" s="4" t="s">
        <v>1554</v>
      </c>
    </row>
    <row r="5" customFormat="false" ht="34.5" hidden="false" customHeight="true" outlineLevel="0" collapsed="false">
      <c r="A5" s="5" t="s">
        <v>2003</v>
      </c>
      <c r="B5" s="7" t="s">
        <v>264</v>
      </c>
      <c r="C5" s="11" t="s">
        <v>2004</v>
      </c>
      <c r="D5" s="7" t="s">
        <v>2005</v>
      </c>
      <c r="E5" s="7" t="s">
        <v>2006</v>
      </c>
      <c r="F5" s="12" t="s">
        <v>2007</v>
      </c>
    </row>
    <row r="6" customFormat="false" ht="15" hidden="false" customHeight="true" outlineLevel="0" collapsed="false">
      <c r="A6" s="5" t="s">
        <v>666</v>
      </c>
      <c r="B6" s="7" t="s">
        <v>665</v>
      </c>
      <c r="C6" s="11" t="s">
        <v>2004</v>
      </c>
      <c r="D6" s="7" t="s">
        <v>2008</v>
      </c>
      <c r="E6" s="7" t="s">
        <v>2009</v>
      </c>
      <c r="F6" s="12" t="s">
        <v>667</v>
      </c>
    </row>
    <row r="7" customFormat="false" ht="23.25" hidden="false" customHeight="true" outlineLevel="0" collapsed="false">
      <c r="A7" s="5" t="s">
        <v>346</v>
      </c>
      <c r="B7" s="7" t="s">
        <v>345</v>
      </c>
      <c r="C7" s="11" t="s">
        <v>2004</v>
      </c>
      <c r="D7" s="7" t="s">
        <v>2008</v>
      </c>
      <c r="E7" s="7" t="s">
        <v>2010</v>
      </c>
      <c r="F7" s="12" t="s">
        <v>347</v>
      </c>
    </row>
    <row r="8" customFormat="false" ht="34.5" hidden="false" customHeight="true" outlineLevel="0" collapsed="false">
      <c r="A8" s="5" t="s">
        <v>2011</v>
      </c>
      <c r="B8" s="7" t="s">
        <v>2012</v>
      </c>
      <c r="C8" s="11" t="s">
        <v>2004</v>
      </c>
      <c r="D8" s="7" t="s">
        <v>2013</v>
      </c>
      <c r="E8" s="7" t="s">
        <v>2014</v>
      </c>
      <c r="F8" s="12" t="s">
        <v>2015</v>
      </c>
    </row>
    <row r="9" customFormat="false" ht="34.5" hidden="false" customHeight="true" outlineLevel="0" collapsed="false">
      <c r="A9" s="5" t="s">
        <v>2016</v>
      </c>
      <c r="B9" s="7" t="s">
        <v>2017</v>
      </c>
      <c r="C9" s="11" t="s">
        <v>2004</v>
      </c>
      <c r="D9" s="7" t="s">
        <v>2018</v>
      </c>
      <c r="E9" s="7" t="s">
        <v>2019</v>
      </c>
      <c r="F9" s="12" t="s">
        <v>2020</v>
      </c>
    </row>
    <row r="10" customFormat="false" ht="23.25" hidden="false" customHeight="true" outlineLevel="0" collapsed="false">
      <c r="A10" s="5" t="s">
        <v>2021</v>
      </c>
      <c r="B10" s="7" t="s">
        <v>2022</v>
      </c>
      <c r="C10" s="11" t="s">
        <v>2004</v>
      </c>
      <c r="D10" s="7" t="s">
        <v>2023</v>
      </c>
      <c r="E10" s="7" t="s">
        <v>2024</v>
      </c>
      <c r="F10" s="12" t="s">
        <v>2025</v>
      </c>
    </row>
    <row r="11" customFormat="false" ht="23.25" hidden="false" customHeight="true" outlineLevel="0" collapsed="false">
      <c r="A11" s="5" t="s">
        <v>464</v>
      </c>
      <c r="B11" s="7" t="s">
        <v>463</v>
      </c>
      <c r="C11" s="11" t="s">
        <v>2004</v>
      </c>
      <c r="D11" s="7" t="s">
        <v>2008</v>
      </c>
      <c r="E11" s="7" t="s">
        <v>2026</v>
      </c>
      <c r="F11" s="12" t="s">
        <v>469</v>
      </c>
    </row>
    <row r="12" customFormat="false" ht="23.25" hidden="false" customHeight="true" outlineLevel="0" collapsed="false">
      <c r="A12" s="5" t="s">
        <v>2027</v>
      </c>
      <c r="B12" s="7" t="s">
        <v>2028</v>
      </c>
      <c r="C12" s="11" t="s">
        <v>2004</v>
      </c>
      <c r="D12" s="7" t="s">
        <v>1570</v>
      </c>
      <c r="E12" s="7" t="s">
        <v>2029</v>
      </c>
      <c r="F12" s="12" t="s">
        <v>2030</v>
      </c>
    </row>
    <row r="13" customFormat="false" ht="34.5" hidden="false" customHeight="true" outlineLevel="0" collapsed="false">
      <c r="A13" s="5" t="s">
        <v>2031</v>
      </c>
      <c r="B13" s="7" t="s">
        <v>2032</v>
      </c>
      <c r="C13" s="11" t="s">
        <v>2004</v>
      </c>
      <c r="D13" s="7" t="s">
        <v>2033</v>
      </c>
      <c r="E13" s="7" t="s">
        <v>2034</v>
      </c>
      <c r="F13" s="12" t="s">
        <v>2035</v>
      </c>
    </row>
    <row r="14" customFormat="false" ht="34.5" hidden="false" customHeight="true" outlineLevel="0" collapsed="false">
      <c r="A14" s="5" t="s">
        <v>1433</v>
      </c>
      <c r="B14" s="7" t="s">
        <v>289</v>
      </c>
      <c r="C14" s="11" t="s">
        <v>2004</v>
      </c>
      <c r="D14" s="7" t="s">
        <v>2036</v>
      </c>
      <c r="E14" s="7" t="s">
        <v>2037</v>
      </c>
      <c r="F14" s="12" t="s">
        <v>1441</v>
      </c>
    </row>
    <row r="15" customFormat="false" ht="34.5" hidden="false" customHeight="true" outlineLevel="0" collapsed="false">
      <c r="A15" s="5" t="s">
        <v>2038</v>
      </c>
      <c r="B15" s="7" t="s">
        <v>2039</v>
      </c>
      <c r="C15" s="11" t="s">
        <v>2004</v>
      </c>
      <c r="D15" s="7" t="s">
        <v>2008</v>
      </c>
      <c r="E15" s="7" t="s">
        <v>2040</v>
      </c>
      <c r="F15" s="12" t="s">
        <v>2041</v>
      </c>
    </row>
    <row r="16" customFormat="false" ht="23.25" hidden="false" customHeight="true" outlineLevel="0" collapsed="false">
      <c r="A16" s="5" t="s">
        <v>2042</v>
      </c>
      <c r="B16" s="7" t="s">
        <v>2028</v>
      </c>
      <c r="C16" s="11" t="s">
        <v>2004</v>
      </c>
      <c r="D16" s="7" t="s">
        <v>1570</v>
      </c>
      <c r="E16" s="7" t="s">
        <v>2029</v>
      </c>
      <c r="F16" s="12" t="s">
        <v>2030</v>
      </c>
    </row>
    <row r="17" customFormat="false" ht="34.5" hidden="false" customHeight="true" outlineLevel="0" collapsed="false">
      <c r="A17" s="5" t="s">
        <v>2043</v>
      </c>
      <c r="B17" s="7" t="s">
        <v>2044</v>
      </c>
      <c r="C17" s="11" t="s">
        <v>2004</v>
      </c>
      <c r="D17" s="7" t="s">
        <v>2045</v>
      </c>
      <c r="E17" s="7" t="s">
        <v>2046</v>
      </c>
      <c r="F17" s="12" t="s">
        <v>2047</v>
      </c>
    </row>
    <row r="18" customFormat="false" ht="45.75" hidden="false" customHeight="true" outlineLevel="0" collapsed="false">
      <c r="A18" s="5" t="s">
        <v>2048</v>
      </c>
      <c r="B18" s="7" t="s">
        <v>2049</v>
      </c>
      <c r="C18" s="11" t="s">
        <v>2004</v>
      </c>
      <c r="D18" s="7" t="s">
        <v>2050</v>
      </c>
      <c r="E18" s="7" t="s">
        <v>2051</v>
      </c>
      <c r="F18" s="12" t="s">
        <v>2052</v>
      </c>
    </row>
    <row r="19" customFormat="false" ht="34.5" hidden="false" customHeight="true" outlineLevel="0" collapsed="false">
      <c r="A19" s="5" t="s">
        <v>1933</v>
      </c>
      <c r="B19" s="7" t="s">
        <v>1934</v>
      </c>
      <c r="C19" s="11" t="s">
        <v>2053</v>
      </c>
      <c r="D19" s="7" t="s">
        <v>102</v>
      </c>
      <c r="E19" s="7" t="s">
        <v>2054</v>
      </c>
      <c r="F19" s="12" t="s">
        <v>2055</v>
      </c>
    </row>
    <row r="20" customFormat="false" ht="34.5" hidden="false" customHeight="true" outlineLevel="0" collapsed="false">
      <c r="A20" s="5" t="s">
        <v>1945</v>
      </c>
      <c r="B20" s="7" t="s">
        <v>1934</v>
      </c>
      <c r="C20" s="11" t="s">
        <v>2053</v>
      </c>
      <c r="D20" s="7" t="s">
        <v>102</v>
      </c>
      <c r="E20" s="7" t="s">
        <v>2056</v>
      </c>
      <c r="F20" s="12" t="s">
        <v>2057</v>
      </c>
    </row>
    <row r="21" customFormat="false" ht="23.25" hidden="false" customHeight="true" outlineLevel="0" collapsed="false">
      <c r="A21" s="5" t="s">
        <v>2058</v>
      </c>
      <c r="B21" s="7" t="s">
        <v>2059</v>
      </c>
      <c r="C21" s="11" t="s">
        <v>2053</v>
      </c>
      <c r="D21" s="7" t="s">
        <v>2008</v>
      </c>
      <c r="E21" s="7" t="s">
        <v>2060</v>
      </c>
      <c r="F21" s="12" t="s">
        <v>2061</v>
      </c>
    </row>
    <row r="22" customFormat="false" ht="23.25" hidden="false" customHeight="true" outlineLevel="0" collapsed="false">
      <c r="A22" s="5" t="s">
        <v>2062</v>
      </c>
      <c r="B22" s="7" t="s">
        <v>2063</v>
      </c>
      <c r="C22" s="11" t="s">
        <v>2053</v>
      </c>
      <c r="D22" s="7" t="s">
        <v>2064</v>
      </c>
      <c r="E22" s="7" t="s">
        <v>2065</v>
      </c>
      <c r="F22" s="12" t="s">
        <v>2066</v>
      </c>
    </row>
    <row r="23" customFormat="false" ht="23.25" hidden="false" customHeight="true" outlineLevel="0" collapsed="false">
      <c r="A23" s="5" t="s">
        <v>2067</v>
      </c>
      <c r="B23" s="7" t="s">
        <v>1950</v>
      </c>
      <c r="C23" s="11" t="s">
        <v>2053</v>
      </c>
      <c r="D23" s="7" t="s">
        <v>102</v>
      </c>
      <c r="E23" s="7" t="s">
        <v>2068</v>
      </c>
      <c r="F23" s="12" t="s">
        <v>2069</v>
      </c>
    </row>
    <row r="24" customFormat="false" ht="34.5" hidden="false" customHeight="true" outlineLevel="0" collapsed="false">
      <c r="A24" s="5" t="s">
        <v>2070</v>
      </c>
      <c r="B24" s="7" t="s">
        <v>289</v>
      </c>
      <c r="C24" s="11" t="s">
        <v>2053</v>
      </c>
      <c r="D24" s="7" t="s">
        <v>2008</v>
      </c>
      <c r="E24" s="7" t="s">
        <v>2071</v>
      </c>
      <c r="F24" s="12" t="s">
        <v>2072</v>
      </c>
    </row>
    <row r="25" customFormat="false" ht="23.25" hidden="false" customHeight="true" outlineLevel="0" collapsed="false">
      <c r="A25" s="5" t="s">
        <v>2073</v>
      </c>
      <c r="B25" s="7" t="s">
        <v>2074</v>
      </c>
      <c r="C25" s="11" t="s">
        <v>2075</v>
      </c>
      <c r="D25" s="7" t="s">
        <v>2008</v>
      </c>
      <c r="E25" s="7" t="s">
        <v>2076</v>
      </c>
      <c r="F25" s="12" t="s">
        <v>2077</v>
      </c>
    </row>
    <row r="26" customFormat="false" ht="23.25" hidden="false" customHeight="true" outlineLevel="0" collapsed="false">
      <c r="A26" s="5" t="s">
        <v>2078</v>
      </c>
      <c r="B26" s="7" t="s">
        <v>2079</v>
      </c>
      <c r="C26" s="11" t="s">
        <v>2075</v>
      </c>
      <c r="D26" s="7" t="s">
        <v>2080</v>
      </c>
      <c r="E26" s="7" t="s">
        <v>2081</v>
      </c>
      <c r="F26" s="12" t="s">
        <v>2082</v>
      </c>
    </row>
    <row r="27" customFormat="false" ht="23.25" hidden="false" customHeight="true" outlineLevel="0" collapsed="false">
      <c r="A27" s="5" t="s">
        <v>2083</v>
      </c>
      <c r="B27" s="7" t="s">
        <v>2084</v>
      </c>
      <c r="C27" s="11" t="s">
        <v>2075</v>
      </c>
      <c r="D27" s="7" t="s">
        <v>2085</v>
      </c>
      <c r="E27" s="7" t="s">
        <v>2086</v>
      </c>
      <c r="F27" s="12" t="s">
        <v>2087</v>
      </c>
    </row>
    <row r="28" customFormat="false" ht="23.25" hidden="false" customHeight="true" outlineLevel="0" collapsed="false">
      <c r="A28" s="5" t="s">
        <v>2088</v>
      </c>
      <c r="B28" s="7" t="s">
        <v>2089</v>
      </c>
      <c r="C28" s="11" t="s">
        <v>2090</v>
      </c>
      <c r="D28" s="7" t="s">
        <v>1570</v>
      </c>
      <c r="E28" s="7" t="s">
        <v>2091</v>
      </c>
      <c r="F28" s="12" t="s">
        <v>2092</v>
      </c>
    </row>
    <row r="29" customFormat="false" ht="23.25" hidden="false" customHeight="true" outlineLevel="0" collapsed="false">
      <c r="A29" s="5" t="s">
        <v>2093</v>
      </c>
      <c r="B29" s="7" t="s">
        <v>1811</v>
      </c>
      <c r="C29" s="14" t="s">
        <v>2094</v>
      </c>
      <c r="D29" s="7" t="s">
        <v>2008</v>
      </c>
      <c r="E29" s="7" t="s">
        <v>2095</v>
      </c>
      <c r="F29" s="12" t="s">
        <v>2096</v>
      </c>
    </row>
    <row r="30" customFormat="false" ht="23.25" hidden="false" customHeight="true" outlineLevel="0" collapsed="false">
      <c r="A30" s="5" t="s">
        <v>2097</v>
      </c>
      <c r="B30" s="7" t="s">
        <v>2098</v>
      </c>
      <c r="C30" s="14" t="s">
        <v>2094</v>
      </c>
      <c r="D30" s="7" t="s">
        <v>2099</v>
      </c>
      <c r="E30" s="7" t="s">
        <v>2100</v>
      </c>
      <c r="F30" s="12" t="s">
        <v>2101</v>
      </c>
    </row>
    <row r="31" customFormat="false" ht="23.25" hidden="false" customHeight="true" outlineLevel="0" collapsed="false">
      <c r="A31" s="5" t="s">
        <v>2102</v>
      </c>
      <c r="B31" s="7" t="s">
        <v>2103</v>
      </c>
      <c r="C31" s="14" t="s">
        <v>2104</v>
      </c>
      <c r="D31" s="7" t="s">
        <v>2008</v>
      </c>
      <c r="E31" s="7" t="s">
        <v>2105</v>
      </c>
      <c r="F31" s="12" t="s">
        <v>2106</v>
      </c>
    </row>
    <row r="32" customFormat="false" ht="23.25" hidden="false" customHeight="true" outlineLevel="0" collapsed="false">
      <c r="A32" s="5" t="s">
        <v>928</v>
      </c>
      <c r="B32" s="7" t="s">
        <v>927</v>
      </c>
      <c r="C32" s="14" t="s">
        <v>2107</v>
      </c>
      <c r="D32" s="7" t="s">
        <v>102</v>
      </c>
      <c r="E32" s="7" t="s">
        <v>2108</v>
      </c>
      <c r="F32" s="12" t="s">
        <v>933</v>
      </c>
    </row>
    <row r="33" customFormat="false" ht="23.25" hidden="false" customHeight="true" outlineLevel="0" collapsed="false">
      <c r="A33" s="5" t="s">
        <v>592</v>
      </c>
      <c r="B33" s="7" t="s">
        <v>289</v>
      </c>
      <c r="C33" s="14" t="s">
        <v>2107</v>
      </c>
      <c r="D33" s="7" t="s">
        <v>2109</v>
      </c>
      <c r="E33" s="7" t="s">
        <v>2110</v>
      </c>
      <c r="F33" s="12" t="s">
        <v>597</v>
      </c>
    </row>
    <row r="34" customFormat="false" ht="34.5" hidden="false" customHeight="true" outlineLevel="0" collapsed="false">
      <c r="A34" s="5" t="s">
        <v>1603</v>
      </c>
      <c r="B34" s="7" t="s">
        <v>2111</v>
      </c>
      <c r="C34" s="14" t="s">
        <v>2112</v>
      </c>
      <c r="D34" s="7" t="s">
        <v>102</v>
      </c>
      <c r="E34" s="7" t="s">
        <v>2113</v>
      </c>
      <c r="F34" s="12" t="s">
        <v>1607</v>
      </c>
    </row>
    <row r="35" customFormat="false" ht="23.25" hidden="false" customHeight="true" outlineLevel="0" collapsed="false">
      <c r="A35" s="5" t="s">
        <v>870</v>
      </c>
      <c r="B35" s="7" t="s">
        <v>869</v>
      </c>
      <c r="C35" s="16" t="s">
        <v>2114</v>
      </c>
      <c r="D35" s="7" t="s">
        <v>102</v>
      </c>
      <c r="E35" s="7" t="s">
        <v>2115</v>
      </c>
      <c r="F35" s="12" t="s">
        <v>875</v>
      </c>
    </row>
    <row r="36" customFormat="false" ht="15" hidden="false" customHeight="true" outlineLevel="0" collapsed="false">
      <c r="A36" s="5" t="s">
        <v>2116</v>
      </c>
      <c r="B36" s="7" t="s">
        <v>264</v>
      </c>
      <c r="C36" s="16" t="s">
        <v>2117</v>
      </c>
      <c r="D36" s="7" t="s">
        <v>102</v>
      </c>
      <c r="E36" s="7" t="s">
        <v>2118</v>
      </c>
      <c r="F36" s="12" t="s">
        <v>2119</v>
      </c>
    </row>
    <row r="37" customFormat="false" ht="23.25" hidden="false" customHeight="true" outlineLevel="0" collapsed="false">
      <c r="A37" s="5" t="s">
        <v>2120</v>
      </c>
      <c r="B37" s="7" t="s">
        <v>289</v>
      </c>
      <c r="C37" s="16" t="s">
        <v>2121</v>
      </c>
      <c r="D37" s="7" t="s">
        <v>102</v>
      </c>
      <c r="E37" s="7" t="s">
        <v>2122</v>
      </c>
      <c r="F37" s="12" t="s">
        <v>2123</v>
      </c>
    </row>
    <row r="38" customFormat="false" ht="23.25" hidden="false" customHeight="true" outlineLevel="0" collapsed="false">
      <c r="A38" s="5" t="s">
        <v>2124</v>
      </c>
      <c r="B38" s="7" t="s">
        <v>2125</v>
      </c>
      <c r="C38" s="16" t="s">
        <v>2117</v>
      </c>
      <c r="D38" s="7" t="s">
        <v>102</v>
      </c>
      <c r="E38" s="7" t="s">
        <v>2126</v>
      </c>
      <c r="F38" s="12" t="s">
        <v>2127</v>
      </c>
    </row>
    <row r="39" customFormat="false" ht="15" hidden="false" customHeight="true" outlineLevel="0" collapsed="false">
      <c r="A39" s="5" t="s">
        <v>1995</v>
      </c>
      <c r="B39" s="7" t="s">
        <v>1996</v>
      </c>
      <c r="C39" s="16" t="s">
        <v>2128</v>
      </c>
      <c r="D39" s="7" t="s">
        <v>2129</v>
      </c>
      <c r="E39" s="7" t="s">
        <v>2130</v>
      </c>
      <c r="F39" s="12" t="s">
        <v>1998</v>
      </c>
    </row>
    <row r="40" customFormat="false" ht="23.25" hidden="false" customHeight="true" outlineLevel="0" collapsed="false">
      <c r="A40" s="5" t="s">
        <v>2131</v>
      </c>
      <c r="B40" s="7" t="s">
        <v>1806</v>
      </c>
      <c r="C40" s="16" t="s">
        <v>2132</v>
      </c>
      <c r="D40" s="7" t="s">
        <v>102</v>
      </c>
      <c r="E40" s="7" t="s">
        <v>2133</v>
      </c>
      <c r="F40" s="12" t="s">
        <v>2134</v>
      </c>
    </row>
    <row r="41" customFormat="false" ht="23.25" hidden="false" customHeight="true" outlineLevel="0" collapsed="false">
      <c r="A41" s="5" t="s">
        <v>950</v>
      </c>
      <c r="B41" s="7" t="s">
        <v>279</v>
      </c>
      <c r="C41" s="16" t="s">
        <v>2135</v>
      </c>
      <c r="D41" s="7" t="s">
        <v>102</v>
      </c>
      <c r="E41" s="7" t="s">
        <v>2136</v>
      </c>
      <c r="F41" s="12" t="s">
        <v>956</v>
      </c>
    </row>
    <row r="42" customFormat="false" ht="23.25" hidden="false" customHeight="true" outlineLevel="0" collapsed="false">
      <c r="A42" s="5" t="s">
        <v>2137</v>
      </c>
      <c r="B42" s="7" t="s">
        <v>2138</v>
      </c>
      <c r="C42" s="16" t="s">
        <v>2139</v>
      </c>
      <c r="D42" s="7" t="s">
        <v>2140</v>
      </c>
      <c r="E42" s="7" t="s">
        <v>2141</v>
      </c>
      <c r="F42" s="12" t="s">
        <v>2142</v>
      </c>
    </row>
    <row r="43" customFormat="false" ht="23.25" hidden="false" customHeight="true" outlineLevel="0" collapsed="false">
      <c r="A43" s="5" t="s">
        <v>2143</v>
      </c>
      <c r="B43" s="7" t="s">
        <v>2144</v>
      </c>
      <c r="C43" s="16" t="s">
        <v>2145</v>
      </c>
      <c r="D43" s="7" t="s">
        <v>102</v>
      </c>
      <c r="E43" s="7" t="s">
        <v>2146</v>
      </c>
      <c r="F43" s="12" t="s">
        <v>2147</v>
      </c>
    </row>
    <row r="44" customFormat="false" ht="15" hidden="false" customHeight="true" outlineLevel="0" collapsed="false">
      <c r="A44" s="5" t="s">
        <v>2148</v>
      </c>
      <c r="B44" s="7" t="s">
        <v>2149</v>
      </c>
      <c r="C44" s="16" t="s">
        <v>2150</v>
      </c>
      <c r="D44" s="7" t="s">
        <v>2151</v>
      </c>
      <c r="E44" s="7" t="s">
        <v>2152</v>
      </c>
      <c r="F44" s="12" t="s">
        <v>2153</v>
      </c>
    </row>
    <row r="45" customFormat="false" ht="23.25" hidden="false" customHeight="true" outlineLevel="0" collapsed="false">
      <c r="A45" s="5" t="s">
        <v>2154</v>
      </c>
      <c r="B45" s="7" t="s">
        <v>2155</v>
      </c>
      <c r="C45" s="16" t="s">
        <v>2156</v>
      </c>
      <c r="D45" s="7" t="s">
        <v>2157</v>
      </c>
      <c r="E45" s="7" t="s">
        <v>2158</v>
      </c>
      <c r="F45" s="12" t="s">
        <v>2159</v>
      </c>
    </row>
    <row r="46" customFormat="false" ht="23.25" hidden="false" customHeight="true" outlineLevel="0" collapsed="false">
      <c r="A46" s="5" t="s">
        <v>1689</v>
      </c>
      <c r="B46" s="7" t="s">
        <v>2160</v>
      </c>
      <c r="C46" s="16" t="s">
        <v>2161</v>
      </c>
      <c r="D46" s="7" t="s">
        <v>173</v>
      </c>
      <c r="E46" s="7" t="s">
        <v>2162</v>
      </c>
      <c r="F46" s="12" t="s">
        <v>2163</v>
      </c>
    </row>
    <row r="47" customFormat="false" ht="23.25" hidden="false" customHeight="true" outlineLevel="0" collapsed="false">
      <c r="A47" s="5" t="s">
        <v>1689</v>
      </c>
      <c r="B47" s="7" t="s">
        <v>2164</v>
      </c>
      <c r="C47" s="16" t="s">
        <v>2165</v>
      </c>
      <c r="D47" s="7" t="s">
        <v>173</v>
      </c>
      <c r="E47" s="7" t="s">
        <v>2166</v>
      </c>
      <c r="F47" s="12" t="s">
        <v>2167</v>
      </c>
    </row>
    <row r="48" customFormat="false" ht="23.25" hidden="false" customHeight="true" outlineLevel="0" collapsed="false">
      <c r="A48" s="5" t="s">
        <v>2168</v>
      </c>
      <c r="B48" s="7" t="s">
        <v>2169</v>
      </c>
      <c r="C48" s="16" t="s">
        <v>2170</v>
      </c>
      <c r="D48" s="7" t="s">
        <v>173</v>
      </c>
      <c r="E48" s="7" t="s">
        <v>2171</v>
      </c>
      <c r="F48" s="12" t="s">
        <v>2172</v>
      </c>
    </row>
    <row r="49" customFormat="false" ht="23.25" hidden="false" customHeight="true" outlineLevel="0" collapsed="false">
      <c r="A49" s="5" t="s">
        <v>2173</v>
      </c>
      <c r="B49" s="7" t="s">
        <v>1083</v>
      </c>
      <c r="C49" s="16" t="s">
        <v>2174</v>
      </c>
      <c r="D49" s="7" t="s">
        <v>173</v>
      </c>
      <c r="E49" s="7" t="s">
        <v>2175</v>
      </c>
      <c r="F49" s="12" t="s">
        <v>2176</v>
      </c>
    </row>
    <row r="50" customFormat="false" ht="23.25" hidden="false" customHeight="true" outlineLevel="0" collapsed="false">
      <c r="A50" s="5" t="s">
        <v>1723</v>
      </c>
      <c r="B50" s="7" t="s">
        <v>2177</v>
      </c>
      <c r="C50" s="16" t="s">
        <v>2174</v>
      </c>
      <c r="D50" s="7" t="s">
        <v>173</v>
      </c>
      <c r="E50" s="7" t="s">
        <v>2178</v>
      </c>
      <c r="F50" s="12" t="s">
        <v>2179</v>
      </c>
    </row>
    <row r="51" customFormat="false" ht="23.25" hidden="false" customHeight="true" outlineLevel="0" collapsed="false">
      <c r="A51" s="5" t="s">
        <v>2180</v>
      </c>
      <c r="B51" s="7" t="s">
        <v>2181</v>
      </c>
      <c r="C51" s="16" t="s">
        <v>2174</v>
      </c>
      <c r="D51" s="7" t="s">
        <v>173</v>
      </c>
      <c r="E51" s="7" t="s">
        <v>2182</v>
      </c>
      <c r="F51" s="12" t="s">
        <v>2183</v>
      </c>
    </row>
    <row r="52" customFormat="false" ht="23.25" hidden="false" customHeight="true" outlineLevel="0" collapsed="false">
      <c r="A52" s="5" t="s">
        <v>2168</v>
      </c>
      <c r="B52" s="7" t="s">
        <v>2184</v>
      </c>
      <c r="C52" s="16" t="s">
        <v>2174</v>
      </c>
      <c r="D52" s="7" t="s">
        <v>173</v>
      </c>
      <c r="E52" s="7" t="s">
        <v>2185</v>
      </c>
      <c r="F52" s="12" t="s">
        <v>2186</v>
      </c>
    </row>
    <row r="53" customFormat="false" ht="23.25" hidden="false" customHeight="true" outlineLevel="0" collapsed="false">
      <c r="A53" s="5" t="s">
        <v>1850</v>
      </c>
      <c r="B53" s="7" t="s">
        <v>2187</v>
      </c>
      <c r="C53" s="16" t="s">
        <v>2174</v>
      </c>
      <c r="D53" s="7" t="s">
        <v>173</v>
      </c>
      <c r="E53" s="7" t="s">
        <v>2188</v>
      </c>
      <c r="F53" s="12" t="s">
        <v>2189</v>
      </c>
    </row>
    <row r="54" customFormat="false" ht="23.25" hidden="false" customHeight="true" outlineLevel="0" collapsed="false">
      <c r="A54" s="5" t="s">
        <v>2190</v>
      </c>
      <c r="B54" s="7" t="s">
        <v>2191</v>
      </c>
      <c r="C54" s="16" t="s">
        <v>2174</v>
      </c>
      <c r="D54" s="7" t="s">
        <v>173</v>
      </c>
      <c r="E54" s="7" t="s">
        <v>2192</v>
      </c>
      <c r="F54" s="12" t="s">
        <v>2193</v>
      </c>
    </row>
    <row r="55" customFormat="false" ht="23.25" hidden="false" customHeight="true" outlineLevel="0" collapsed="false">
      <c r="A55" s="5" t="s">
        <v>2194</v>
      </c>
      <c r="B55" s="7" t="s">
        <v>2195</v>
      </c>
      <c r="C55" s="16" t="s">
        <v>2174</v>
      </c>
      <c r="D55" s="7" t="s">
        <v>173</v>
      </c>
      <c r="E55" s="7" t="s">
        <v>2196</v>
      </c>
      <c r="F55" s="12" t="s">
        <v>2197</v>
      </c>
    </row>
    <row r="56" customFormat="false" ht="23.25" hidden="false" customHeight="true" outlineLevel="0" collapsed="false">
      <c r="A56" s="5" t="s">
        <v>2198</v>
      </c>
      <c r="B56" s="7" t="s">
        <v>2199</v>
      </c>
      <c r="C56" s="16" t="s">
        <v>2174</v>
      </c>
      <c r="D56" s="7" t="s">
        <v>173</v>
      </c>
      <c r="E56" s="7" t="s">
        <v>2196</v>
      </c>
      <c r="F56" s="12" t="s">
        <v>2200</v>
      </c>
    </row>
    <row r="57" customFormat="false" ht="23.25" hidden="false" customHeight="true" outlineLevel="0" collapsed="false">
      <c r="A57" s="5" t="s">
        <v>2201</v>
      </c>
      <c r="B57" s="7" t="s">
        <v>2202</v>
      </c>
      <c r="C57" s="16" t="s">
        <v>2174</v>
      </c>
      <c r="D57" s="7" t="s">
        <v>173</v>
      </c>
      <c r="E57" s="7" t="s">
        <v>2203</v>
      </c>
      <c r="F57" s="12" t="s">
        <v>2204</v>
      </c>
    </row>
    <row r="58" customFormat="false" ht="23.25" hidden="false" customHeight="true" outlineLevel="0" collapsed="false">
      <c r="A58" s="5" t="s">
        <v>2205</v>
      </c>
      <c r="B58" s="7" t="s">
        <v>2206</v>
      </c>
      <c r="C58" s="16" t="s">
        <v>2174</v>
      </c>
      <c r="D58" s="7" t="s">
        <v>173</v>
      </c>
      <c r="E58" s="7" t="s">
        <v>2207</v>
      </c>
      <c r="F58" s="12" t="s">
        <v>2208</v>
      </c>
    </row>
    <row r="59" customFormat="false" ht="23.25" hidden="false" customHeight="true" outlineLevel="0" collapsed="false">
      <c r="A59" s="5" t="s">
        <v>2209</v>
      </c>
      <c r="B59" s="7" t="s">
        <v>2210</v>
      </c>
      <c r="C59" s="16" t="s">
        <v>2094</v>
      </c>
      <c r="D59" s="7" t="s">
        <v>173</v>
      </c>
      <c r="E59" s="7" t="s">
        <v>2211</v>
      </c>
      <c r="F59" s="12" t="s">
        <v>2212</v>
      </c>
    </row>
    <row r="60" customFormat="false" ht="23.25" hidden="false" customHeight="true" outlineLevel="0" collapsed="false">
      <c r="A60" s="5" t="s">
        <v>2213</v>
      </c>
      <c r="B60" s="7" t="s">
        <v>2214</v>
      </c>
      <c r="C60" s="16" t="s">
        <v>2094</v>
      </c>
      <c r="D60" s="7" t="s">
        <v>173</v>
      </c>
      <c r="E60" s="7" t="s">
        <v>2215</v>
      </c>
      <c r="F60" s="12" t="s">
        <v>2216</v>
      </c>
    </row>
    <row r="61" customFormat="false" ht="23.25" hidden="false" customHeight="true" outlineLevel="0" collapsed="false">
      <c r="A61" s="5" t="s">
        <v>2217</v>
      </c>
      <c r="B61" s="7" t="s">
        <v>2218</v>
      </c>
      <c r="C61" s="16" t="s">
        <v>2094</v>
      </c>
      <c r="D61" s="7" t="s">
        <v>173</v>
      </c>
      <c r="E61" s="7" t="s">
        <v>2219</v>
      </c>
      <c r="F61" s="12" t="s">
        <v>2220</v>
      </c>
    </row>
    <row r="62" customFormat="false" ht="23.25" hidden="false" customHeight="true" outlineLevel="0" collapsed="false">
      <c r="A62" s="5" t="s">
        <v>1639</v>
      </c>
      <c r="B62" s="7" t="s">
        <v>1640</v>
      </c>
      <c r="C62" s="16" t="s">
        <v>2161</v>
      </c>
      <c r="D62" s="7" t="s">
        <v>173</v>
      </c>
      <c r="E62" s="7" t="s">
        <v>2221</v>
      </c>
      <c r="F62" s="12" t="s">
        <v>1642</v>
      </c>
    </row>
    <row r="63" customFormat="false" ht="23.25" hidden="false" customHeight="true" outlineLevel="0" collapsed="false">
      <c r="A63" s="5" t="s">
        <v>2222</v>
      </c>
      <c r="B63" s="7" t="s">
        <v>2223</v>
      </c>
      <c r="C63" s="16" t="s">
        <v>2174</v>
      </c>
      <c r="D63" s="7" t="s">
        <v>173</v>
      </c>
      <c r="E63" s="7" t="s">
        <v>2224</v>
      </c>
      <c r="F63" s="12" t="s">
        <v>2225</v>
      </c>
    </row>
    <row r="64" customFormat="false" ht="23.25" hidden="false" customHeight="true" outlineLevel="0" collapsed="false">
      <c r="A64" s="5" t="s">
        <v>2226</v>
      </c>
      <c r="B64" s="7" t="s">
        <v>2227</v>
      </c>
      <c r="C64" s="16" t="s">
        <v>2228</v>
      </c>
      <c r="D64" s="7" t="s">
        <v>173</v>
      </c>
      <c r="E64" s="7" t="s">
        <v>2229</v>
      </c>
      <c r="F64" s="12" t="s">
        <v>2230</v>
      </c>
    </row>
    <row r="65" customFormat="false" ht="15" hidden="false" customHeight="true" outlineLevel="0" collapsed="false">
      <c r="A65" s="5" t="s">
        <v>1794</v>
      </c>
      <c r="B65" s="7" t="s">
        <v>2231</v>
      </c>
      <c r="C65" s="16" t="s">
        <v>2174</v>
      </c>
      <c r="D65" s="7" t="s">
        <v>173</v>
      </c>
      <c r="E65" s="7" t="s">
        <v>2232</v>
      </c>
      <c r="F65" s="12" t="s">
        <v>2233</v>
      </c>
    </row>
    <row r="66" customFormat="false" ht="23.25" hidden="false" customHeight="true" outlineLevel="0" collapsed="false">
      <c r="A66" s="5" t="s">
        <v>2234</v>
      </c>
      <c r="B66" s="7" t="s">
        <v>1806</v>
      </c>
      <c r="C66" s="16" t="s">
        <v>2174</v>
      </c>
      <c r="D66" s="7" t="s">
        <v>173</v>
      </c>
      <c r="E66" s="7" t="s">
        <v>2235</v>
      </c>
      <c r="F66" s="12" t="s">
        <v>2236</v>
      </c>
    </row>
    <row r="67" customFormat="false" ht="23.25" hidden="false" customHeight="true" outlineLevel="0" collapsed="false">
      <c r="A67" s="5" t="s">
        <v>2226</v>
      </c>
      <c r="B67" s="7" t="s">
        <v>1661</v>
      </c>
      <c r="C67" s="16" t="s">
        <v>2094</v>
      </c>
      <c r="D67" s="7" t="s">
        <v>173</v>
      </c>
      <c r="E67" s="7" t="s">
        <v>2237</v>
      </c>
      <c r="F67" s="12" t="s">
        <v>2238</v>
      </c>
    </row>
    <row r="68" customFormat="false" ht="45.75" hidden="false" customHeight="true" outlineLevel="0" collapsed="false">
      <c r="A68" s="5" t="s">
        <v>2239</v>
      </c>
      <c r="B68" s="7" t="s">
        <v>2240</v>
      </c>
      <c r="C68" s="16" t="s">
        <v>2094</v>
      </c>
      <c r="D68" s="7" t="s">
        <v>173</v>
      </c>
      <c r="E68" s="7" t="s">
        <v>2241</v>
      </c>
      <c r="F68" s="12" t="s">
        <v>2242</v>
      </c>
    </row>
    <row r="69" customFormat="false" ht="68.25" hidden="false" customHeight="true" outlineLevel="0" collapsed="false">
      <c r="A69" s="5" t="s">
        <v>2243</v>
      </c>
      <c r="B69" s="7" t="s">
        <v>2244</v>
      </c>
      <c r="C69" s="16" t="s">
        <v>2094</v>
      </c>
      <c r="D69" s="7" t="s">
        <v>173</v>
      </c>
      <c r="E69" s="7" t="s">
        <v>2245</v>
      </c>
      <c r="F69" s="12" t="s">
        <v>2246</v>
      </c>
    </row>
    <row r="70" customFormat="false" ht="68.25" hidden="false" customHeight="true" outlineLevel="0" collapsed="false">
      <c r="A70" s="5" t="s">
        <v>2247</v>
      </c>
      <c r="B70" s="7" t="s">
        <v>2248</v>
      </c>
      <c r="C70" s="16" t="s">
        <v>2174</v>
      </c>
      <c r="D70" s="7" t="s">
        <v>173</v>
      </c>
      <c r="E70" s="7" t="s">
        <v>2249</v>
      </c>
      <c r="F70" s="12" t="s">
        <v>2250</v>
      </c>
    </row>
    <row r="71" customFormat="false" ht="68.25" hidden="false" customHeight="true" outlineLevel="0" collapsed="false">
      <c r="A71" s="5" t="s">
        <v>2247</v>
      </c>
      <c r="B71" s="7" t="s">
        <v>2251</v>
      </c>
      <c r="C71" s="16" t="s">
        <v>2174</v>
      </c>
      <c r="D71" s="7" t="s">
        <v>173</v>
      </c>
      <c r="E71" s="7" t="s">
        <v>2249</v>
      </c>
      <c r="F71" s="12" t="s">
        <v>2252</v>
      </c>
    </row>
    <row r="72" customFormat="false" ht="68.25" hidden="false" customHeight="true" outlineLevel="0" collapsed="false">
      <c r="A72" s="5" t="s">
        <v>2247</v>
      </c>
      <c r="B72" s="7" t="s">
        <v>2253</v>
      </c>
      <c r="C72" s="16" t="s">
        <v>2174</v>
      </c>
      <c r="D72" s="7" t="s">
        <v>173</v>
      </c>
      <c r="E72" s="7" t="s">
        <v>2249</v>
      </c>
      <c r="F72" s="12" t="s">
        <v>2254</v>
      </c>
    </row>
    <row r="73" customFormat="false" ht="68.25" hidden="false" customHeight="true" outlineLevel="0" collapsed="false">
      <c r="A73" s="5" t="s">
        <v>1916</v>
      </c>
      <c r="B73" s="7" t="s">
        <v>2255</v>
      </c>
      <c r="C73" s="16" t="s">
        <v>2174</v>
      </c>
      <c r="D73" s="7" t="s">
        <v>173</v>
      </c>
      <c r="E73" s="7" t="s">
        <v>2235</v>
      </c>
      <c r="F73" s="12" t="s">
        <v>2256</v>
      </c>
    </row>
    <row r="74" customFormat="false" ht="68.25" hidden="false" customHeight="true" outlineLevel="0" collapsed="false">
      <c r="A74" s="5" t="s">
        <v>911</v>
      </c>
      <c r="B74" s="7" t="s">
        <v>2257</v>
      </c>
      <c r="C74" s="16" t="s">
        <v>2258</v>
      </c>
      <c r="D74" s="7" t="s">
        <v>173</v>
      </c>
      <c r="E74" s="7" t="s">
        <v>2259</v>
      </c>
      <c r="F74" s="12" t="s">
        <v>2260</v>
      </c>
    </row>
    <row r="75" customFormat="false" ht="68.25" hidden="false" customHeight="true" outlineLevel="0" collapsed="false">
      <c r="A75" s="5" t="s">
        <v>2261</v>
      </c>
      <c r="B75" s="7" t="s">
        <v>2262</v>
      </c>
      <c r="C75" s="16" t="s">
        <v>2174</v>
      </c>
      <c r="D75" s="7" t="s">
        <v>173</v>
      </c>
      <c r="E75" s="7" t="s">
        <v>2263</v>
      </c>
      <c r="F75" s="12" t="s">
        <v>2264</v>
      </c>
    </row>
    <row r="76" customFormat="false" ht="68.25" hidden="false" customHeight="true" outlineLevel="0" collapsed="false">
      <c r="A76" s="5" t="s">
        <v>2261</v>
      </c>
      <c r="B76" s="7" t="s">
        <v>2265</v>
      </c>
      <c r="C76" s="16" t="s">
        <v>2174</v>
      </c>
      <c r="D76" s="7" t="s">
        <v>173</v>
      </c>
      <c r="E76" s="7" t="s">
        <v>2263</v>
      </c>
      <c r="F76" s="12" t="s">
        <v>2264</v>
      </c>
    </row>
    <row r="77" customFormat="false" ht="68.25" hidden="false" customHeight="true" outlineLevel="0" collapsed="false">
      <c r="A77" s="5" t="s">
        <v>2266</v>
      </c>
      <c r="B77" s="7" t="s">
        <v>2267</v>
      </c>
      <c r="C77" s="16" t="s">
        <v>2094</v>
      </c>
      <c r="D77" s="7" t="s">
        <v>173</v>
      </c>
      <c r="E77" s="7" t="s">
        <v>2268</v>
      </c>
      <c r="F77" s="12" t="s">
        <v>2269</v>
      </c>
    </row>
    <row r="78" customFormat="false" ht="68.25" hidden="false" customHeight="true" outlineLevel="0" collapsed="false">
      <c r="A78" s="5" t="s">
        <v>2270</v>
      </c>
      <c r="B78" s="7" t="s">
        <v>2271</v>
      </c>
      <c r="C78" s="16" t="s">
        <v>2174</v>
      </c>
      <c r="D78" s="7" t="s">
        <v>173</v>
      </c>
      <c r="E78" s="7" t="s">
        <v>2272</v>
      </c>
      <c r="F78" s="12" t="s">
        <v>2273</v>
      </c>
    </row>
    <row r="79" customFormat="false" ht="68.25" hidden="false" customHeight="true" outlineLevel="0" collapsed="false">
      <c r="A79" s="5" t="s">
        <v>2274</v>
      </c>
      <c r="B79" s="7" t="s">
        <v>1083</v>
      </c>
      <c r="C79" s="16" t="s">
        <v>2174</v>
      </c>
      <c r="D79" s="7" t="s">
        <v>173</v>
      </c>
      <c r="E79" s="7" t="s">
        <v>2275</v>
      </c>
      <c r="F79" s="12" t="s">
        <v>2276</v>
      </c>
    </row>
    <row r="80" customFormat="false" ht="68.25" hidden="false" customHeight="true" outlineLevel="0" collapsed="false">
      <c r="A80" s="5" t="s">
        <v>228</v>
      </c>
      <c r="B80" s="7" t="s">
        <v>2277</v>
      </c>
      <c r="C80" s="16" t="s">
        <v>2094</v>
      </c>
      <c r="D80" s="7" t="s">
        <v>173</v>
      </c>
      <c r="E80" s="7" t="s">
        <v>2278</v>
      </c>
      <c r="F80" s="12" t="s">
        <v>2279</v>
      </c>
    </row>
    <row r="81" customFormat="false" ht="68.25" hidden="false" customHeight="true" outlineLevel="0" collapsed="false">
      <c r="A81" s="5" t="s">
        <v>219</v>
      </c>
      <c r="B81" s="7" t="s">
        <v>2280</v>
      </c>
      <c r="C81" s="16" t="s">
        <v>2281</v>
      </c>
      <c r="D81" s="7" t="s">
        <v>173</v>
      </c>
      <c r="E81" s="7" t="s">
        <v>2282</v>
      </c>
      <c r="F81" s="12" t="s">
        <v>2283</v>
      </c>
    </row>
    <row r="82" customFormat="false" ht="68.25" hidden="false" customHeight="true" outlineLevel="0" collapsed="false">
      <c r="A82" s="5" t="s">
        <v>219</v>
      </c>
      <c r="B82" s="7" t="s">
        <v>2284</v>
      </c>
      <c r="C82" s="16" t="s">
        <v>2281</v>
      </c>
      <c r="D82" s="7" t="s">
        <v>173</v>
      </c>
      <c r="E82" s="7" t="s">
        <v>2282</v>
      </c>
      <c r="F82" s="12" t="s">
        <v>2285</v>
      </c>
    </row>
    <row r="83" customFormat="false" ht="68.25" hidden="false" customHeight="true" outlineLevel="0" collapsed="false">
      <c r="A83" s="5" t="s">
        <v>756</v>
      </c>
      <c r="B83" s="7" t="s">
        <v>2286</v>
      </c>
      <c r="C83" s="16" t="s">
        <v>2287</v>
      </c>
      <c r="D83" s="7" t="s">
        <v>173</v>
      </c>
      <c r="E83" s="7" t="s">
        <v>2288</v>
      </c>
      <c r="F83" s="12" t="s">
        <v>2289</v>
      </c>
    </row>
    <row r="84" customFormat="false" ht="68.25" hidden="false" customHeight="true" outlineLevel="0" collapsed="false">
      <c r="A84" s="5" t="s">
        <v>2290</v>
      </c>
      <c r="B84" s="7" t="s">
        <v>2191</v>
      </c>
      <c r="C84" s="16" t="s">
        <v>2174</v>
      </c>
      <c r="D84" s="7" t="s">
        <v>173</v>
      </c>
      <c r="E84" s="7" t="s">
        <v>2291</v>
      </c>
      <c r="F84" s="12" t="s">
        <v>2292</v>
      </c>
    </row>
    <row r="89" customFormat="false" ht="23.25" hidden="false" customHeight="true" outlineLevel="0" collapsed="false"/>
    <row r="97" customFormat="false" ht="23.25" hidden="false" customHeight="true" outlineLevel="0" collapsed="false"/>
  </sheetData>
  <autoFilter ref="A4:F84"/>
  <hyperlinks>
    <hyperlink ref="F5" r:id="rId1" display="https://euremotejobs.com/job/arkipel-remote-within-the-1-1-cet-time-zone-range-full-time-product-engineer-at-join/"/>
    <hyperlink ref="F6" r:id="rId2" display="https://join.com/companies/getaveryai/16375814-founding-engineer-core"/>
    <hyperlink ref="F7" r:id="rId3" display="https://join.com/companies/gtmbaseio/16345856-forward-deployed-crm-architect"/>
    <hyperlink ref="F8" r:id="rId4" display="https://join.com/companies/meetjamieai/16383408-ai-engineer-top-5-salary-band-in-europe"/>
    <hyperlink ref="F9" r:id="rId5" display="https://join.com/companies/kfs1/16523505-junior-full-stack-developer-typescript-react-supabase-postgres"/>
    <hyperlink ref="F10" r:id="rId6" display="https://join.com/companies/laioutr/16494968-ai-engineer-m-f-d-full-stack-typescript-nuxt-next-vue-react"/>
    <hyperlink ref="F11" r:id="rId7" display="https://join.com/companies/oryn-groupcom/16512536-gtm-engineer-founding-partner-m-f-x"/>
    <hyperlink ref="F12" r:id="rId8" display="https://join.com/companies"/>
    <hyperlink ref="F13" r:id="rId9" display="https://join.com/companies/revos/15825399-ai-native-senior-full-stack-engineer"/>
    <hyperlink ref="F14" r:id="rId10" display="https://join.com/companies/shippypro953/16512307-gtm-engineer"/>
    <hyperlink ref="F15" r:id="rId11" display="https://join.com/companies/cargovibede/16370194-founding-engineer-all-genders"/>
    <hyperlink ref="F16" r:id="rId12" display="https://join.com/companies"/>
    <hyperlink ref="F17" r:id="rId13" display="https://join.com/companies/peopleix/16471347-full-stack-engineer-workflow-automation-platform-m-f-d"/>
    <hyperlink ref="F18" r:id="rId14" display="https://join.com/companies/saleshax/16342286-full-stack-ai-developer-engineer-m-w-d"/>
    <hyperlink ref="F19" r:id="rId15" display="https://apply.workable.com/digitalgenius/j/E03A435AC1"/>
    <hyperlink ref="F20" r:id="rId16" display="https://apply.workable.com/laravel/j/E2EEEA7303"/>
    <hyperlink ref="F21" r:id="rId17" display="https://apply.workable.com/toloka-ai/j/F5013CA4FC/apply/"/>
    <hyperlink ref="F22" r:id="rId18" display="https://apply.workable.com/moneyfarm/j/DD702C60CF/"/>
    <hyperlink ref="F23" r:id="rId19" display="https://apply.workable.com/remofirst/j/CB946C18D3"/>
    <hyperlink ref="F24" r:id="rId20" display="https://apply.workable.com/salescaptain/j/5D318B62CB/"/>
    <hyperlink ref="F25" r:id="rId21" display="https://it.indeed.com/viewjob?jk=75f472b960751e88"/>
    <hyperlink ref="F26" r:id="rId22" display="https://it.indeed.com/viewjob?jk=ca2f94a1378e690d"/>
    <hyperlink ref="F27" r:id="rId23" display="https://it.indeed.com/viewjob?jk=09dad482b024076d"/>
    <hyperlink ref="F28" r:id="rId24" display="https://jobs.smartrecruiters.com/Docplanner"/>
    <hyperlink ref="F29" r:id="rId25" display="https://job-boards.eu.greenhouse.io/gensyn/jobs/4660248101"/>
    <hyperlink ref="F30" r:id="rId26" display="https://jobs.ashbyhq.com/kairos-project/d0aeae33-8eae-4d58-ac30-369a87dd90c7/application"/>
    <hyperlink ref="F31" r:id="rId27" display="https://job-boards.greenhouse.io/fueledcareers/jobs/4038230008"/>
    <hyperlink ref="F32" r:id="rId28" display="https://holtzbrinck-careers.softgarden.io/job/62651254/"/>
    <hyperlink ref="F33" r:id="rId29" display="https://himalayas.app/companies/paires/jobs/gtm-engineer"/>
    <hyperlink ref="F34" r:id="rId30" display="https://job-boards.greenhouse.io/sourcegraph91/jobs/6113147004"/>
    <hyperlink ref="F35" r:id="rId31" display="https://job-boards.greenhouse.io/alertmedia/jobs/8656401002"/>
    <hyperlink ref="F36" r:id="rId32" display="https://jobs.ashbyhq.com/attio"/>
    <hyperlink ref="F37" r:id="rId33" display="https://jobs.ashbyhq.com/ben"/>
    <hyperlink ref="F38" r:id="rId34" display="https://cresta.com/careers"/>
    <hyperlink ref="F39" r:id="rId35" display="https://job-boards.greenhouse.io/customerio/jobs/8089365"/>
    <hyperlink ref="F40" r:id="rId36" display="https://jobs.ashbyhq.com/lovable/7fe39289-1f7f-47d4-8002-d3aeeaaaabc6/application"/>
    <hyperlink ref="F41" r:id="rId37" display="https://builtin.com/job/software-engineer-cloud-backend/6802123"/>
    <hyperlink ref="F42" r:id="rId38" display="https://it.indeed.com/viewjob?jk=ec83a38a6467bd5d"/>
    <hyperlink ref="F43" r:id="rId39" display="https://jobs.ashbyhq.com/satispay/45744663-4768-48d1-81c9-218eb54a2027/application"/>
    <hyperlink ref="F44" r:id="rId40" display="https://jobs.ashbyhq.com/the-global-talent-co/141a52e8-050a-4761-8d5d-746f1a592efb/application"/>
    <hyperlink ref="F45" r:id="rId41" display="https://epilot.cloud/careers"/>
    <hyperlink ref="F46" r:id="rId42" display="https://jobs.lever.co/jobgether/89509e99-290d-446f-87a7-39c3a67a4a58/apply"/>
    <hyperlink ref="F47" r:id="rId43" display="https://jobs.lever.co/jobgether/2875aa8f-2aaa-495a-a70b-d2dcc0355218/apply"/>
    <hyperlink ref="F48" r:id="rId44" display="https://job-boards.greenhouse.io/rithumliboard/jobs/8092924"/>
    <hyperlink ref="F49" r:id="rId45" display="https://jobs.ashbyhq.com/quadrivia/ef77b530-b481-4a32-a6d6-b0469a5419f2"/>
    <hyperlink ref="F50" r:id="rId46" display="https://job-boards.greenhouse.io/bloomreach/jobs/8064322"/>
    <hyperlink ref="F51" r:id="rId47" display="https://jobs.eu.lever.co/olx/e0e18bb2-2cd8-473c-b804-b4849bda1f88"/>
    <hyperlink ref="F52" r:id="rId48" display="https://job-boards.greenhouse.io/rithumliboard/jobs/8016946"/>
    <hyperlink ref="F53" r:id="rId49" display="https://job-boards.greenhouse.io/databento/jobs/7943501"/>
    <hyperlink ref="F54" r:id="rId50" display="https://job-boards.greenhouse.io/amplitude/jobs/8548089002"/>
    <hyperlink ref="F55" r:id="rId51" display="https://job-boards.greenhouse.io/jetbrains/jobs/4873487101"/>
    <hyperlink ref="F56" r:id="rId52" display="https://job-boards.greenhouse.io/telnyx54/jobs/4651630003"/>
    <hyperlink ref="F57" r:id="rId53" display="https://job-boards.greenhouse.io/vonage/jobs/8477113002"/>
    <hyperlink ref="F58" r:id="rId54" display="https://job-boards.eu.greenhouse.io/lighthouse/jobs/4849717101"/>
    <hyperlink ref="F59" r:id="rId55" display="https://jobs.lever.co/distru/b7bb8662-3ede-4b41-bc98-b8ca5678f8d3/apply"/>
    <hyperlink ref="F60" r:id="rId56" display="https://jobs.lever.co/deliverect/ec294766-fb58-4dd9-8c2f-c18019f599ca/apply"/>
    <hyperlink ref="F61" r:id="rId57" display="https://jobs.lever.co/activecampaign/3e093aec-8540-49c7-93f1-719727c1191d/apply"/>
    <hyperlink ref="F62" r:id="rId58" display="https://jobs.eu.lever.co/eneba/df5397c1-489f-4eb9-a771-3d64eb42c86e/apply"/>
    <hyperlink ref="F64" r:id="rId59" display="https://jobs.lever.co/lodgify/e1eab491-a863-4292-8912-0449992aea60/apply"/>
    <hyperlink ref="F67" r:id="rId60" display="https://jobs.lever.co/lodgify/d99f7960-cf71-4fd9-b87a-08066b00d07e/apply"/>
    <hyperlink ref="F70" r:id="rId61" display="https://job-boards.greenhouse.io/alignerr/jobs/4714343007"/>
    <hyperlink ref="F71" r:id="rId62" display="https://job-boards.greenhouse.io/alignerr/jobs/4362423007"/>
    <hyperlink ref="F72" r:id="rId63" display="https://job-boards.greenhouse.io/alignerr/jobs/4769519007"/>
    <hyperlink ref="F73" r:id="rId64" display="https://jobs.ashbyhq.com/rossum.ai/ba7beef9-03ff-4624-9e03-d8d6ea593b64"/>
    <hyperlink ref="F74" r:id="rId65" display="https://boards.greenhouse.io/embed/job_app?for=wizinc&amp;token=4701893006"/>
    <hyperlink ref="F75" r:id="rId66" display="https://job-boards.greenhouse.io/amenitiz"/>
    <hyperlink ref="F76" r:id="rId67" display="https://job-boards.greenhouse.io/amenitiz"/>
    <hyperlink ref="F77" r:id="rId68" display="https://jobs.ashbyhq.com/weaviate/0d1c47c4-bc5b-45d8-8791-8f30f0fb2a12/application"/>
    <hyperlink ref="F78" r:id="rId69" display="https://ascendingai.recruitee.com/o/full-stack-engineer-mid-level"/>
    <hyperlink ref="F79" r:id="rId70" display="https://job-boards.eu.greenhouse.io/super/jobs/4821514101"/>
    <hyperlink ref="F80" r:id="rId71" display="https://jobs.treatwell.com/_/j/B7E88C102B/apply"/>
    <hyperlink ref="F81" r:id="rId72" display="https://jobs.smartrecruiters.com/BEUMERGroup1/744000128890468"/>
    <hyperlink ref="F82" r:id="rId73" display="https://jobs.smartrecruiters.com/BEUMERGroup1/744000118435467"/>
    <hyperlink ref="F83" r:id="rId74" display="https://careers.launchmetrics.com/jobs/8102801-full-stack-software-development-engineer-react"/>
    <hyperlink ref="F84" r:id="rId75" display="https://job-boards.greenhouse.io/intercom/jobs/643627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52"/>
    <col collapsed="false" customWidth="true" hidden="false" outlineLevel="0" max="3" min="3" style="1" width="30"/>
    <col collapsed="false" customWidth="true" hidden="false" outlineLevel="0" max="4" min="4" style="1" width="18"/>
    <col collapsed="false" customWidth="true" hidden="false" outlineLevel="0" max="5" min="5" style="1" width="96"/>
    <col collapsed="false" customWidth="true" hidden="false" outlineLevel="0" max="6" min="6" style="1" width="62"/>
    <col collapsed="false" customWidth="true" hidden="false" outlineLevel="0" max="7" min="7" style="1" width="46"/>
    <col collapsed="false" customWidth="true" hidden="false" outlineLevel="0" max="8" min="8" style="1" width="52"/>
    <col collapsed="false" customWidth="true" hidden="false" outlineLevel="0" max="9" min="9" style="1" width="84"/>
    <col collapsed="false" customWidth="true" hidden="false" outlineLevel="0" max="10" min="10" style="1" width="68"/>
    <col collapsed="false" customWidth="true" hidden="false" outlineLevel="0" max="11" min="11" style="1" width="34"/>
  </cols>
  <sheetData>
    <row r="1" customFormat="false" ht="18" hidden="false" customHeight="true" outlineLevel="0" collapsed="false">
      <c r="A1" s="2" t="s">
        <v>2293</v>
      </c>
    </row>
    <row r="2" customFormat="false" ht="15" hidden="false" customHeight="true" outlineLevel="0" collapsed="false">
      <c r="A2" s="3" t="s">
        <v>2294</v>
      </c>
    </row>
    <row r="4" customFormat="false" ht="30" hidden="false" customHeight="true" outlineLevel="0" collapsed="false">
      <c r="A4" s="4" t="s">
        <v>58</v>
      </c>
      <c r="B4" s="4" t="s">
        <v>2295</v>
      </c>
      <c r="C4" s="4" t="s">
        <v>4</v>
      </c>
      <c r="D4" s="4" t="s">
        <v>2296</v>
      </c>
      <c r="E4" s="4" t="s">
        <v>2297</v>
      </c>
      <c r="F4" s="4" t="s">
        <v>2298</v>
      </c>
      <c r="G4" s="4" t="s">
        <v>2299</v>
      </c>
      <c r="H4" s="4" t="s">
        <v>2300</v>
      </c>
      <c r="I4" s="4" t="s">
        <v>2301</v>
      </c>
      <c r="J4" s="4" t="s">
        <v>2302</v>
      </c>
      <c r="K4" s="4" t="s">
        <v>2303</v>
      </c>
    </row>
    <row r="5" customFormat="false" ht="45.75" hidden="false" customHeight="true" outlineLevel="0" collapsed="false">
      <c r="A5" s="5" t="s">
        <v>2304</v>
      </c>
      <c r="B5" s="7" t="s">
        <v>2305</v>
      </c>
      <c r="C5" s="7" t="s">
        <v>2306</v>
      </c>
      <c r="D5" s="11" t="s">
        <v>2307</v>
      </c>
      <c r="E5" s="7" t="s">
        <v>2308</v>
      </c>
      <c r="F5" s="7" t="s">
        <v>2309</v>
      </c>
      <c r="G5" s="12" t="s">
        <v>2310</v>
      </c>
      <c r="H5" s="7" t="s">
        <v>102</v>
      </c>
      <c r="I5" s="7" t="s">
        <v>2311</v>
      </c>
      <c r="J5" s="7" t="s">
        <v>2312</v>
      </c>
      <c r="K5" s="7" t="s">
        <v>2313</v>
      </c>
    </row>
    <row r="6" customFormat="false" ht="45.75" hidden="false" customHeight="true" outlineLevel="0" collapsed="false">
      <c r="A6" s="5" t="s">
        <v>2314</v>
      </c>
      <c r="B6" s="7" t="s">
        <v>2315</v>
      </c>
      <c r="C6" s="7" t="s">
        <v>2316</v>
      </c>
      <c r="D6" s="11" t="s">
        <v>2307</v>
      </c>
      <c r="E6" s="7" t="s">
        <v>2317</v>
      </c>
      <c r="F6" s="7" t="s">
        <v>2318</v>
      </c>
      <c r="G6" s="12" t="s">
        <v>2319</v>
      </c>
      <c r="H6" s="7" t="s">
        <v>102</v>
      </c>
      <c r="I6" s="7" t="s">
        <v>2320</v>
      </c>
      <c r="J6" s="7" t="s">
        <v>2321</v>
      </c>
      <c r="K6" s="7" t="s">
        <v>2322</v>
      </c>
    </row>
    <row r="7" customFormat="false" ht="45.75" hidden="false" customHeight="true" outlineLevel="0" collapsed="false">
      <c r="A7" s="5" t="s">
        <v>2323</v>
      </c>
      <c r="B7" s="7" t="s">
        <v>2324</v>
      </c>
      <c r="C7" s="7" t="s">
        <v>2325</v>
      </c>
      <c r="D7" s="11" t="s">
        <v>2307</v>
      </c>
      <c r="E7" s="7" t="s">
        <v>2326</v>
      </c>
      <c r="F7" s="7" t="s">
        <v>2327</v>
      </c>
      <c r="G7" s="12" t="s">
        <v>2328</v>
      </c>
      <c r="H7" s="7" t="s">
        <v>102</v>
      </c>
      <c r="I7" s="7" t="s">
        <v>2329</v>
      </c>
      <c r="J7" s="7" t="s">
        <v>2330</v>
      </c>
      <c r="K7" s="7" t="s">
        <v>2331</v>
      </c>
    </row>
    <row r="8" customFormat="false" ht="45.75" hidden="false" customHeight="true" outlineLevel="0" collapsed="false">
      <c r="A8" s="5" t="s">
        <v>2332</v>
      </c>
      <c r="B8" s="7" t="s">
        <v>2333</v>
      </c>
      <c r="C8" s="7" t="s">
        <v>2325</v>
      </c>
      <c r="D8" s="11" t="s">
        <v>2307</v>
      </c>
      <c r="E8" s="7" t="s">
        <v>2334</v>
      </c>
      <c r="F8" s="7" t="s">
        <v>2335</v>
      </c>
      <c r="G8" s="12" t="s">
        <v>2336</v>
      </c>
      <c r="H8" s="7" t="s">
        <v>2337</v>
      </c>
      <c r="I8" s="7" t="s">
        <v>2338</v>
      </c>
      <c r="J8" s="7" t="s">
        <v>2339</v>
      </c>
      <c r="K8" s="7" t="s">
        <v>2340</v>
      </c>
    </row>
    <row r="9" customFormat="false" ht="45.75" hidden="false" customHeight="true" outlineLevel="0" collapsed="false">
      <c r="A9" s="5" t="s">
        <v>2341</v>
      </c>
      <c r="B9" s="7" t="s">
        <v>2342</v>
      </c>
      <c r="C9" s="7" t="s">
        <v>2343</v>
      </c>
      <c r="D9" s="11" t="s">
        <v>2307</v>
      </c>
      <c r="E9" s="7" t="s">
        <v>2344</v>
      </c>
      <c r="F9" s="7" t="s">
        <v>2345</v>
      </c>
      <c r="G9" s="12" t="s">
        <v>2346</v>
      </c>
      <c r="H9" s="7" t="s">
        <v>102</v>
      </c>
      <c r="I9" s="7" t="s">
        <v>2347</v>
      </c>
      <c r="J9" s="7" t="s">
        <v>2348</v>
      </c>
      <c r="K9" s="7" t="s">
        <v>2349</v>
      </c>
    </row>
    <row r="10" customFormat="false" ht="45.75" hidden="false" customHeight="true" outlineLevel="0" collapsed="false">
      <c r="A10" s="5" t="s">
        <v>2350</v>
      </c>
      <c r="B10" s="7" t="s">
        <v>2351</v>
      </c>
      <c r="C10" s="7" t="s">
        <v>2352</v>
      </c>
      <c r="D10" s="11" t="s">
        <v>2307</v>
      </c>
      <c r="E10" s="7" t="s">
        <v>2353</v>
      </c>
      <c r="F10" s="7" t="s">
        <v>2354</v>
      </c>
      <c r="G10" s="12" t="s">
        <v>2355</v>
      </c>
      <c r="H10" s="7" t="s">
        <v>2356</v>
      </c>
      <c r="I10" s="7" t="s">
        <v>2357</v>
      </c>
      <c r="J10" s="7" t="s">
        <v>2358</v>
      </c>
      <c r="K10" s="7" t="s">
        <v>2359</v>
      </c>
    </row>
    <row r="11" customFormat="false" ht="45.75" hidden="false" customHeight="true" outlineLevel="0" collapsed="false">
      <c r="A11" s="5" t="s">
        <v>2360</v>
      </c>
      <c r="B11" s="7" t="s">
        <v>2361</v>
      </c>
      <c r="C11" s="7" t="s">
        <v>2343</v>
      </c>
      <c r="D11" s="11" t="s">
        <v>2307</v>
      </c>
      <c r="E11" s="7" t="s">
        <v>2362</v>
      </c>
      <c r="F11" s="7" t="s">
        <v>2363</v>
      </c>
      <c r="G11" s="12" t="s">
        <v>2364</v>
      </c>
      <c r="H11" s="7" t="s">
        <v>2365</v>
      </c>
      <c r="I11" s="7" t="s">
        <v>2366</v>
      </c>
      <c r="J11" s="7" t="s">
        <v>2367</v>
      </c>
      <c r="K11" s="7" t="s">
        <v>2368</v>
      </c>
    </row>
    <row r="12" customFormat="false" ht="45.75" hidden="false" customHeight="true" outlineLevel="0" collapsed="false">
      <c r="A12" s="5" t="s">
        <v>2369</v>
      </c>
      <c r="B12" s="7" t="s">
        <v>2370</v>
      </c>
      <c r="C12" s="7" t="s">
        <v>2371</v>
      </c>
      <c r="D12" s="11" t="s">
        <v>2307</v>
      </c>
      <c r="E12" s="7" t="s">
        <v>2372</v>
      </c>
      <c r="F12" s="7" t="s">
        <v>2373</v>
      </c>
      <c r="G12" s="12" t="s">
        <v>2374</v>
      </c>
      <c r="H12" s="7" t="s">
        <v>102</v>
      </c>
      <c r="I12" s="7" t="s">
        <v>2375</v>
      </c>
      <c r="J12" s="7" t="s">
        <v>2376</v>
      </c>
      <c r="K12" s="7" t="s">
        <v>2377</v>
      </c>
    </row>
    <row r="13" customFormat="false" ht="45.75" hidden="false" customHeight="true" outlineLevel="0" collapsed="false">
      <c r="A13" s="5" t="s">
        <v>2378</v>
      </c>
      <c r="B13" s="7" t="s">
        <v>2379</v>
      </c>
      <c r="C13" s="7" t="s">
        <v>2380</v>
      </c>
      <c r="D13" s="11" t="s">
        <v>2307</v>
      </c>
      <c r="E13" s="7" t="s">
        <v>2381</v>
      </c>
      <c r="F13" s="7" t="s">
        <v>2382</v>
      </c>
      <c r="G13" s="12" t="s">
        <v>2383</v>
      </c>
      <c r="H13" s="7" t="s">
        <v>2384</v>
      </c>
      <c r="I13" s="7" t="s">
        <v>2385</v>
      </c>
      <c r="J13" s="7" t="s">
        <v>2386</v>
      </c>
      <c r="K13" s="7" t="s">
        <v>2387</v>
      </c>
    </row>
    <row r="14" customFormat="false" ht="45.75" hidden="false" customHeight="true" outlineLevel="0" collapsed="false">
      <c r="A14" s="5" t="s">
        <v>2388</v>
      </c>
      <c r="B14" s="7" t="s">
        <v>2389</v>
      </c>
      <c r="C14" s="7" t="s">
        <v>2390</v>
      </c>
      <c r="D14" s="11" t="s">
        <v>2307</v>
      </c>
      <c r="E14" s="7" t="s">
        <v>2391</v>
      </c>
      <c r="F14" s="7" t="s">
        <v>2392</v>
      </c>
      <c r="G14" s="12" t="s">
        <v>2393</v>
      </c>
      <c r="H14" s="7" t="s">
        <v>2394</v>
      </c>
      <c r="I14" s="7" t="s">
        <v>2395</v>
      </c>
      <c r="J14" s="7" t="s">
        <v>2396</v>
      </c>
      <c r="K14" s="7" t="s">
        <v>2397</v>
      </c>
    </row>
    <row r="15" customFormat="false" ht="45.75" hidden="false" customHeight="true" outlineLevel="0" collapsed="false">
      <c r="A15" s="5" t="s">
        <v>2398</v>
      </c>
      <c r="B15" s="7" t="s">
        <v>2399</v>
      </c>
      <c r="C15" s="7" t="s">
        <v>2400</v>
      </c>
      <c r="D15" s="11" t="s">
        <v>2307</v>
      </c>
      <c r="E15" s="7" t="s">
        <v>2401</v>
      </c>
      <c r="F15" s="7" t="s">
        <v>2402</v>
      </c>
      <c r="G15" s="12" t="s">
        <v>2403</v>
      </c>
      <c r="H15" s="7" t="s">
        <v>102</v>
      </c>
      <c r="I15" s="7" t="s">
        <v>2404</v>
      </c>
      <c r="J15" s="7" t="s">
        <v>2405</v>
      </c>
      <c r="K15" s="7" t="s">
        <v>2406</v>
      </c>
    </row>
    <row r="16" customFormat="false" ht="45.75" hidden="false" customHeight="true" outlineLevel="0" collapsed="false">
      <c r="A16" s="5" t="s">
        <v>2407</v>
      </c>
      <c r="B16" s="7" t="s">
        <v>2408</v>
      </c>
      <c r="C16" s="7" t="s">
        <v>2409</v>
      </c>
      <c r="D16" s="11" t="s">
        <v>2307</v>
      </c>
      <c r="E16" s="7" t="s">
        <v>2410</v>
      </c>
      <c r="F16" s="7" t="s">
        <v>2411</v>
      </c>
      <c r="G16" s="12" t="s">
        <v>2412</v>
      </c>
      <c r="H16" s="7" t="s">
        <v>2413</v>
      </c>
      <c r="I16" s="7" t="s">
        <v>2414</v>
      </c>
      <c r="J16" s="7" t="s">
        <v>2415</v>
      </c>
      <c r="K16" s="7" t="s">
        <v>2416</v>
      </c>
    </row>
    <row r="17" customFormat="false" ht="45.75" hidden="false" customHeight="true" outlineLevel="0" collapsed="false">
      <c r="A17" s="5" t="s">
        <v>2417</v>
      </c>
      <c r="B17" s="7" t="s">
        <v>2418</v>
      </c>
      <c r="C17" s="7" t="s">
        <v>2390</v>
      </c>
      <c r="D17" s="11" t="s">
        <v>2307</v>
      </c>
      <c r="E17" s="7" t="s">
        <v>2419</v>
      </c>
      <c r="F17" s="7" t="s">
        <v>2420</v>
      </c>
      <c r="G17" s="7" t="s">
        <v>2421</v>
      </c>
      <c r="H17" s="7" t="s">
        <v>102</v>
      </c>
      <c r="I17" s="7" t="s">
        <v>2422</v>
      </c>
      <c r="J17" s="7" t="s">
        <v>2423</v>
      </c>
      <c r="K17" s="7" t="s">
        <v>2424</v>
      </c>
    </row>
    <row r="18" customFormat="false" ht="34.5" hidden="false" customHeight="true" outlineLevel="0" collapsed="false">
      <c r="A18" s="5" t="s">
        <v>2425</v>
      </c>
      <c r="B18" s="7" t="s">
        <v>2426</v>
      </c>
      <c r="C18" s="7" t="s">
        <v>2427</v>
      </c>
      <c r="D18" s="11" t="s">
        <v>2307</v>
      </c>
      <c r="E18" s="7" t="s">
        <v>2428</v>
      </c>
      <c r="F18" s="7" t="s">
        <v>2429</v>
      </c>
      <c r="G18" s="12" t="s">
        <v>2430</v>
      </c>
      <c r="H18" s="7" t="s">
        <v>2431</v>
      </c>
      <c r="I18" s="7" t="s">
        <v>2432</v>
      </c>
      <c r="J18" s="7" t="s">
        <v>2433</v>
      </c>
      <c r="K18" s="7" t="s">
        <v>2434</v>
      </c>
    </row>
    <row r="19" customFormat="false" ht="45.75" hidden="false" customHeight="true" outlineLevel="0" collapsed="false">
      <c r="A19" s="5" t="s">
        <v>2435</v>
      </c>
      <c r="B19" s="7" t="s">
        <v>2436</v>
      </c>
      <c r="C19" s="7" t="s">
        <v>2390</v>
      </c>
      <c r="D19" s="11" t="s">
        <v>2307</v>
      </c>
      <c r="E19" s="7" t="s">
        <v>2437</v>
      </c>
      <c r="F19" s="7" t="s">
        <v>2438</v>
      </c>
      <c r="G19" s="12" t="s">
        <v>2439</v>
      </c>
      <c r="H19" s="7" t="s">
        <v>2440</v>
      </c>
      <c r="I19" s="7" t="s">
        <v>2441</v>
      </c>
      <c r="J19" s="7" t="s">
        <v>2442</v>
      </c>
      <c r="K19" s="7" t="s">
        <v>2443</v>
      </c>
    </row>
    <row r="20" customFormat="false" ht="45.75" hidden="false" customHeight="true" outlineLevel="0" collapsed="false">
      <c r="A20" s="5" t="s">
        <v>2444</v>
      </c>
      <c r="B20" s="7" t="s">
        <v>2445</v>
      </c>
      <c r="C20" s="7" t="s">
        <v>2446</v>
      </c>
      <c r="D20" s="11" t="s">
        <v>2307</v>
      </c>
      <c r="E20" s="7" t="s">
        <v>2447</v>
      </c>
      <c r="F20" s="7" t="s">
        <v>2448</v>
      </c>
      <c r="G20" s="12" t="s">
        <v>2449</v>
      </c>
      <c r="H20" s="7" t="s">
        <v>2450</v>
      </c>
      <c r="I20" s="7" t="s">
        <v>2451</v>
      </c>
      <c r="J20" s="7" t="s">
        <v>2452</v>
      </c>
      <c r="K20" s="7" t="s">
        <v>2453</v>
      </c>
    </row>
    <row r="21" customFormat="false" ht="45.75" hidden="false" customHeight="true" outlineLevel="0" collapsed="false">
      <c r="A21" s="5" t="s">
        <v>2454</v>
      </c>
      <c r="B21" s="7" t="s">
        <v>2455</v>
      </c>
      <c r="C21" s="7" t="s">
        <v>2456</v>
      </c>
      <c r="D21" s="11" t="s">
        <v>2307</v>
      </c>
      <c r="E21" s="7" t="s">
        <v>2457</v>
      </c>
      <c r="F21" s="7" t="s">
        <v>2458</v>
      </c>
      <c r="G21" s="12" t="s">
        <v>2459</v>
      </c>
      <c r="H21" s="7" t="s">
        <v>2460</v>
      </c>
      <c r="I21" s="7" t="s">
        <v>2461</v>
      </c>
      <c r="J21" s="7" t="s">
        <v>2462</v>
      </c>
      <c r="K21" s="7" t="s">
        <v>2463</v>
      </c>
    </row>
    <row r="22" customFormat="false" ht="45.75" hidden="false" customHeight="true" outlineLevel="0" collapsed="false">
      <c r="A22" s="5" t="s">
        <v>2464</v>
      </c>
      <c r="B22" s="7" t="s">
        <v>2465</v>
      </c>
      <c r="C22" s="7" t="s">
        <v>2352</v>
      </c>
      <c r="D22" s="11" t="s">
        <v>2307</v>
      </c>
      <c r="E22" s="7" t="s">
        <v>2466</v>
      </c>
      <c r="F22" s="7" t="s">
        <v>2467</v>
      </c>
      <c r="G22" s="12" t="s">
        <v>2468</v>
      </c>
      <c r="H22" s="7" t="s">
        <v>102</v>
      </c>
      <c r="I22" s="7" t="s">
        <v>2469</v>
      </c>
      <c r="J22" s="7" t="s">
        <v>2470</v>
      </c>
      <c r="K22" s="7" t="s">
        <v>2471</v>
      </c>
    </row>
    <row r="23" customFormat="false" ht="34.5" hidden="false" customHeight="true" outlineLevel="0" collapsed="false">
      <c r="A23" s="5" t="s">
        <v>2472</v>
      </c>
      <c r="B23" s="7" t="s">
        <v>2473</v>
      </c>
      <c r="C23" s="7" t="s">
        <v>2474</v>
      </c>
      <c r="D23" s="11" t="s">
        <v>2307</v>
      </c>
      <c r="E23" s="7" t="s">
        <v>2475</v>
      </c>
      <c r="F23" s="7" t="s">
        <v>2476</v>
      </c>
      <c r="G23" s="12" t="s">
        <v>2477</v>
      </c>
      <c r="H23" s="7" t="s">
        <v>2478</v>
      </c>
      <c r="I23" s="7" t="s">
        <v>2479</v>
      </c>
      <c r="J23" s="7" t="s">
        <v>2480</v>
      </c>
      <c r="K23" s="7" t="s">
        <v>2481</v>
      </c>
    </row>
    <row r="24" customFormat="false" ht="45.75" hidden="false" customHeight="true" outlineLevel="0" collapsed="false">
      <c r="A24" s="5" t="s">
        <v>2482</v>
      </c>
      <c r="B24" s="7" t="s">
        <v>2483</v>
      </c>
      <c r="C24" s="7" t="s">
        <v>2484</v>
      </c>
      <c r="D24" s="11" t="s">
        <v>2307</v>
      </c>
      <c r="E24" s="7" t="s">
        <v>2485</v>
      </c>
      <c r="F24" s="7" t="s">
        <v>2486</v>
      </c>
      <c r="G24" s="12" t="s">
        <v>2487</v>
      </c>
      <c r="H24" s="7" t="s">
        <v>2488</v>
      </c>
      <c r="I24" s="7" t="s">
        <v>2489</v>
      </c>
      <c r="J24" s="7" t="s">
        <v>2490</v>
      </c>
      <c r="K24" s="7" t="s">
        <v>2491</v>
      </c>
    </row>
    <row r="25" customFormat="false" ht="34.5" hidden="false" customHeight="true" outlineLevel="0" collapsed="false">
      <c r="A25" s="5" t="s">
        <v>2492</v>
      </c>
      <c r="B25" s="7" t="s">
        <v>2493</v>
      </c>
      <c r="C25" s="7" t="s">
        <v>2494</v>
      </c>
      <c r="D25" s="11" t="s">
        <v>2307</v>
      </c>
      <c r="E25" s="7" t="s">
        <v>2495</v>
      </c>
      <c r="F25" s="7" t="s">
        <v>2496</v>
      </c>
      <c r="G25" s="12" t="s">
        <v>2497</v>
      </c>
      <c r="H25" s="7" t="s">
        <v>2498</v>
      </c>
      <c r="I25" s="7" t="s">
        <v>2499</v>
      </c>
      <c r="J25" s="7" t="s">
        <v>2500</v>
      </c>
      <c r="K25" s="7" t="s">
        <v>2501</v>
      </c>
    </row>
    <row r="26" customFormat="false" ht="34.5" hidden="false" customHeight="true" outlineLevel="0" collapsed="false">
      <c r="A26" s="5" t="s">
        <v>2502</v>
      </c>
      <c r="B26" s="7" t="s">
        <v>2503</v>
      </c>
      <c r="C26" s="7" t="s">
        <v>2504</v>
      </c>
      <c r="D26" s="14" t="s">
        <v>2505</v>
      </c>
      <c r="E26" s="7" t="s">
        <v>2506</v>
      </c>
      <c r="F26" s="7" t="s">
        <v>2507</v>
      </c>
      <c r="G26" s="12" t="s">
        <v>2508</v>
      </c>
      <c r="H26" s="7" t="s">
        <v>2488</v>
      </c>
      <c r="I26" s="7" t="s">
        <v>2509</v>
      </c>
      <c r="J26" s="7" t="s">
        <v>2510</v>
      </c>
      <c r="K26" s="7" t="s">
        <v>2511</v>
      </c>
    </row>
    <row r="27" customFormat="false" ht="45.75" hidden="false" customHeight="true" outlineLevel="0" collapsed="false">
      <c r="A27" s="5" t="s">
        <v>2512</v>
      </c>
      <c r="B27" s="7" t="s">
        <v>2513</v>
      </c>
      <c r="C27" s="7" t="s">
        <v>2514</v>
      </c>
      <c r="D27" s="14" t="s">
        <v>2505</v>
      </c>
      <c r="E27" s="7" t="s">
        <v>2515</v>
      </c>
      <c r="F27" s="7" t="s">
        <v>2516</v>
      </c>
      <c r="G27" s="12" t="s">
        <v>2517</v>
      </c>
      <c r="H27" s="7" t="s">
        <v>102</v>
      </c>
      <c r="I27" s="7" t="s">
        <v>2518</v>
      </c>
      <c r="J27" s="7" t="s">
        <v>2519</v>
      </c>
      <c r="K27" s="7" t="s">
        <v>2520</v>
      </c>
    </row>
    <row r="28" customFormat="false" ht="34.5" hidden="false" customHeight="true" outlineLevel="0" collapsed="false">
      <c r="A28" s="5" t="s">
        <v>2521</v>
      </c>
      <c r="B28" s="7" t="s">
        <v>2522</v>
      </c>
      <c r="C28" s="7" t="s">
        <v>2523</v>
      </c>
      <c r="D28" s="14" t="s">
        <v>2505</v>
      </c>
      <c r="E28" s="7" t="s">
        <v>2524</v>
      </c>
      <c r="F28" s="7" t="s">
        <v>2525</v>
      </c>
      <c r="G28" s="12" t="s">
        <v>2526</v>
      </c>
      <c r="H28" s="7" t="s">
        <v>102</v>
      </c>
      <c r="I28" s="7" t="s">
        <v>2527</v>
      </c>
      <c r="J28" s="7" t="s">
        <v>2528</v>
      </c>
      <c r="K28" s="7" t="s">
        <v>2529</v>
      </c>
    </row>
    <row r="29" customFormat="false" ht="34.5" hidden="false" customHeight="true" outlineLevel="0" collapsed="false">
      <c r="A29" s="5" t="s">
        <v>2530</v>
      </c>
      <c r="B29" s="7" t="s">
        <v>2531</v>
      </c>
      <c r="C29" s="7" t="s">
        <v>2532</v>
      </c>
      <c r="D29" s="14" t="s">
        <v>2505</v>
      </c>
      <c r="E29" s="7" t="s">
        <v>2533</v>
      </c>
      <c r="F29" s="7" t="s">
        <v>2534</v>
      </c>
      <c r="G29" s="7" t="s">
        <v>102</v>
      </c>
      <c r="H29" s="7" t="s">
        <v>2535</v>
      </c>
      <c r="I29" s="7" t="s">
        <v>2536</v>
      </c>
      <c r="J29" s="7" t="s">
        <v>2537</v>
      </c>
      <c r="K29" s="7" t="s">
        <v>2538</v>
      </c>
    </row>
    <row r="30" customFormat="false" ht="45.75" hidden="false" customHeight="true" outlineLevel="0" collapsed="false">
      <c r="A30" s="5" t="s">
        <v>2539</v>
      </c>
      <c r="B30" s="7" t="s">
        <v>2540</v>
      </c>
      <c r="C30" s="7" t="s">
        <v>2541</v>
      </c>
      <c r="D30" s="14" t="s">
        <v>2505</v>
      </c>
      <c r="E30" s="7" t="s">
        <v>2542</v>
      </c>
      <c r="F30" s="7" t="s">
        <v>2543</v>
      </c>
      <c r="G30" s="12" t="s">
        <v>2544</v>
      </c>
      <c r="H30" s="7" t="s">
        <v>2545</v>
      </c>
      <c r="I30" s="7" t="s">
        <v>2546</v>
      </c>
      <c r="J30" s="7" t="s">
        <v>2547</v>
      </c>
      <c r="K30" s="7" t="s">
        <v>2548</v>
      </c>
    </row>
    <row r="31" customFormat="false" ht="45.75" hidden="false" customHeight="true" outlineLevel="0" collapsed="false">
      <c r="A31" s="5" t="s">
        <v>2549</v>
      </c>
      <c r="B31" s="7" t="s">
        <v>2550</v>
      </c>
      <c r="C31" s="7" t="s">
        <v>2541</v>
      </c>
      <c r="D31" s="14" t="s">
        <v>2505</v>
      </c>
      <c r="E31" s="7" t="s">
        <v>2551</v>
      </c>
      <c r="F31" s="7" t="s">
        <v>2552</v>
      </c>
      <c r="G31" s="12" t="s">
        <v>2553</v>
      </c>
      <c r="H31" s="7" t="s">
        <v>102</v>
      </c>
      <c r="I31" s="7" t="s">
        <v>2554</v>
      </c>
      <c r="J31" s="7" t="s">
        <v>2555</v>
      </c>
      <c r="K31" s="7" t="s">
        <v>2556</v>
      </c>
    </row>
    <row r="32" customFormat="false" ht="45.75" hidden="false" customHeight="true" outlineLevel="0" collapsed="false">
      <c r="A32" s="5" t="s">
        <v>2557</v>
      </c>
      <c r="B32" s="7" t="s">
        <v>2558</v>
      </c>
      <c r="C32" s="7" t="s">
        <v>2523</v>
      </c>
      <c r="D32" s="14" t="s">
        <v>2559</v>
      </c>
      <c r="E32" s="7" t="s">
        <v>2560</v>
      </c>
      <c r="F32" s="7" t="s">
        <v>2561</v>
      </c>
      <c r="G32" s="12" t="s">
        <v>2562</v>
      </c>
      <c r="H32" s="7" t="s">
        <v>2488</v>
      </c>
      <c r="I32" s="7" t="s">
        <v>2563</v>
      </c>
      <c r="J32" s="7" t="s">
        <v>2564</v>
      </c>
      <c r="K32" s="7" t="s">
        <v>2565</v>
      </c>
    </row>
    <row r="33" customFormat="false" ht="45.75" hidden="false" customHeight="true" outlineLevel="0" collapsed="false">
      <c r="A33" s="5" t="s">
        <v>2566</v>
      </c>
      <c r="B33" s="7" t="s">
        <v>2567</v>
      </c>
      <c r="C33" s="7" t="s">
        <v>2568</v>
      </c>
      <c r="D33" s="14" t="s">
        <v>2505</v>
      </c>
      <c r="E33" s="7" t="s">
        <v>2569</v>
      </c>
      <c r="F33" s="7" t="s">
        <v>2570</v>
      </c>
      <c r="G33" s="7" t="s">
        <v>2571</v>
      </c>
      <c r="H33" s="7" t="s">
        <v>102</v>
      </c>
      <c r="I33" s="7" t="s">
        <v>2572</v>
      </c>
      <c r="J33" s="7" t="s">
        <v>2573</v>
      </c>
      <c r="K33" s="7" t="s">
        <v>2574</v>
      </c>
    </row>
    <row r="34" customFormat="false" ht="45.75" hidden="false" customHeight="true" outlineLevel="0" collapsed="false">
      <c r="A34" s="5" t="s">
        <v>2575</v>
      </c>
      <c r="B34" s="7" t="s">
        <v>2576</v>
      </c>
      <c r="C34" s="7" t="s">
        <v>2427</v>
      </c>
      <c r="D34" s="14" t="s">
        <v>2505</v>
      </c>
      <c r="E34" s="7" t="s">
        <v>2577</v>
      </c>
      <c r="F34" s="7" t="s">
        <v>2578</v>
      </c>
      <c r="G34" s="12" t="s">
        <v>2579</v>
      </c>
      <c r="H34" s="7" t="s">
        <v>2580</v>
      </c>
      <c r="I34" s="7" t="s">
        <v>2581</v>
      </c>
      <c r="J34" s="7" t="s">
        <v>2582</v>
      </c>
      <c r="K34" s="7" t="s">
        <v>2583</v>
      </c>
    </row>
    <row r="35" customFormat="false" ht="45.75" hidden="false" customHeight="true" outlineLevel="0" collapsed="false">
      <c r="A35" s="5" t="s">
        <v>2584</v>
      </c>
      <c r="B35" s="7" t="s">
        <v>2585</v>
      </c>
      <c r="C35" s="7" t="s">
        <v>2586</v>
      </c>
      <c r="D35" s="14" t="s">
        <v>2505</v>
      </c>
      <c r="E35" s="7" t="s">
        <v>2587</v>
      </c>
      <c r="F35" s="7" t="s">
        <v>2588</v>
      </c>
      <c r="G35" s="12" t="s">
        <v>2589</v>
      </c>
      <c r="H35" s="7" t="s">
        <v>102</v>
      </c>
      <c r="I35" s="7" t="s">
        <v>2590</v>
      </c>
      <c r="J35" s="7" t="s">
        <v>2591</v>
      </c>
      <c r="K35" s="7" t="s">
        <v>2592</v>
      </c>
    </row>
    <row r="36" customFormat="false" ht="45.75" hidden="false" customHeight="true" outlineLevel="0" collapsed="false">
      <c r="A36" s="5" t="s">
        <v>2593</v>
      </c>
      <c r="B36" s="7" t="s">
        <v>2594</v>
      </c>
      <c r="C36" s="7" t="s">
        <v>2595</v>
      </c>
      <c r="D36" s="14" t="s">
        <v>2559</v>
      </c>
      <c r="E36" s="7" t="s">
        <v>2596</v>
      </c>
      <c r="F36" s="7" t="s">
        <v>2597</v>
      </c>
      <c r="G36" s="12" t="s">
        <v>2598</v>
      </c>
      <c r="H36" s="7" t="s">
        <v>102</v>
      </c>
      <c r="I36" s="7" t="s">
        <v>2599</v>
      </c>
      <c r="J36" s="7" t="s">
        <v>2600</v>
      </c>
      <c r="K36" s="7" t="s">
        <v>2601</v>
      </c>
    </row>
    <row r="37" customFormat="false" ht="45.75" hidden="false" customHeight="true" outlineLevel="0" collapsed="false">
      <c r="A37" s="5" t="s">
        <v>2602</v>
      </c>
      <c r="B37" s="7" t="s">
        <v>2603</v>
      </c>
      <c r="C37" s="7" t="s">
        <v>2604</v>
      </c>
      <c r="D37" s="14" t="s">
        <v>2505</v>
      </c>
      <c r="E37" s="7" t="s">
        <v>2605</v>
      </c>
      <c r="F37" s="7" t="s">
        <v>2606</v>
      </c>
      <c r="G37" s="12" t="s">
        <v>2607</v>
      </c>
      <c r="H37" s="7" t="s">
        <v>102</v>
      </c>
      <c r="I37" s="7" t="s">
        <v>2608</v>
      </c>
      <c r="J37" s="7" t="s">
        <v>2609</v>
      </c>
      <c r="K37" s="7" t="s">
        <v>2610</v>
      </c>
    </row>
    <row r="38" customFormat="false" ht="45.75" hidden="false" customHeight="true" outlineLevel="0" collapsed="false">
      <c r="A38" s="5" t="s">
        <v>2611</v>
      </c>
      <c r="B38" s="7" t="s">
        <v>2612</v>
      </c>
      <c r="C38" s="7" t="s">
        <v>2343</v>
      </c>
      <c r="D38" s="14" t="s">
        <v>2505</v>
      </c>
      <c r="E38" s="7" t="s">
        <v>2613</v>
      </c>
      <c r="F38" s="7" t="s">
        <v>2614</v>
      </c>
      <c r="G38" s="12" t="s">
        <v>2615</v>
      </c>
      <c r="H38" s="7" t="s">
        <v>102</v>
      </c>
      <c r="I38" s="7" t="s">
        <v>2616</v>
      </c>
      <c r="J38" s="7" t="s">
        <v>2617</v>
      </c>
      <c r="K38" s="7" t="s">
        <v>2618</v>
      </c>
    </row>
  </sheetData>
  <autoFilter ref="A4:K38"/>
  <hyperlinks>
    <hyperlink ref="G5" r:id="rId1" display="https://www.linkedin.com/company/wemakefuture/"/>
    <hyperlink ref="G6" r:id="rId2" display="https://de.linkedin.com/company/aoe"/>
    <hyperlink ref="G7" r:id="rId3" display="https://www.linkedin.com/company/aticco"/>
    <hyperlink ref="G8" r:id="rId4" display="https://www.linkedin.com/company/wearecloudworks"/>
    <hyperlink ref="G9" r:id="rId5" display="https://www.linkedin.com/company/cobot/"/>
    <hyperlink ref="G10" r:id="rId6" display="https://www.linkedin.com/company/copernicowork/"/>
    <hyperlink ref="G11" r:id="rId7" display="https://www.linkedin.com/company/coworkies"/>
    <hyperlink ref="G12" r:id="rId8" display="https://www.linkedin.com/company/deskimoapp"/>
    <hyperlink ref="G13" r:id="rId9" display="https://www.linkedin.com/company/digitalcubeai/"/>
    <hyperlink ref="G14" r:id="rId10" display="https://www.linkedin.com/company/flexas"/>
    <hyperlink ref="G15" r:id="rId11" display="https://www.linkedin.com/company/impacthubmilano and https://www.linkedin.com/company/impacthubnetwork"/>
    <hyperlink ref="G16" r:id="rId12" display="https://www.linkedin.com/company/makeitfuture/"/>
    <hyperlink ref="G18" r:id="rId13" display="https://www.linkedin.com/company/stx-next-ai-solutions"/>
    <hyperlink ref="G19" r:id="rId14" display="https://www.linkedin.com/company/saleslift-studio/"/>
    <hyperlink ref="G20" r:id="rId15" display="https://www.linkedin.com/company/spacebring"/>
    <hyperlink ref="G21" r:id="rId16" display="https://www.linkedin.com/company/spacent/"/>
    <hyperlink ref="G22" r:id="rId17" display="https://www.linkedin.com/company/talentgarden"/>
    <hyperlink ref="G23" r:id="rId18" display="https://linkedin.com/company/workfloows"/>
    <hyperlink ref="G24" r:id="rId19" display="https://www.linkedin.com/company/zapfloorhq"/>
    <hyperlink ref="G25" r:id="rId20" display="https://www.linkedin.com/company/atlantisdx"/>
    <hyperlink ref="G26" r:id="rId21" display="https://www.linkedin.com/company/ace-workflow"/>
    <hyperlink ref="G27" r:id="rId22" display="https://www.linkedin.com/company/archieapp"/>
    <hyperlink ref="G28" r:id="rId23" display="https://www.linkedin.com/company/decodifai"/>
    <hyperlink ref="G30" r:id="rId24" display="https://www.linkedin.com/company/goodspeed-studio/"/>
    <hyperlink ref="G31" r:id="rId25" display="https://www.linkedin.com/company/huckletree"/>
    <hyperlink ref="G32" r:id="rId26" display="https://nl.linkedin.com/company/leapforce-nl"/>
    <hyperlink ref="G34" r:id="rId27" display="https://www.linkedin.com/company/netguru"/>
    <hyperlink ref="G35" r:id="rId28" display="https://www.linkedin.com/company/sharedesk"/>
    <hyperlink ref="G36" r:id="rId29" display="https://www.linkedin.com/company/roboyo"/>
    <hyperlink ref="G37" r:id="rId30" display="https://www.linkedin.com/company/upflex"/>
    <hyperlink ref="G38" r:id="rId31" display="https://www.linkedin.com/company/betaha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2026-08-06T06:16:24Z</dcterms:created>
  <dc:creator>openpyxl</dc:creator>
  <dc:description/>
  <dc:language>en-US</dc:language>
  <cp:lastModifiedBy/>
  <dcterms:modified xsi:type="dcterms:W3CDTF">2026-08-06T22:03:51Z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